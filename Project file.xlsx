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 Statement" sheetId="1" r:id="rId4"/>
    <sheet state="visible" name="Original Sheet" sheetId="2" r:id="rId5"/>
    <sheet state="visible" name="Working sheet 1" sheetId="3" r:id="rId6"/>
    <sheet state="visible" name="Cleaned_Data" sheetId="4" r:id="rId7"/>
    <sheet state="visible" name="Working sheet 2" sheetId="5" r:id="rId8"/>
    <sheet state="visible" name="Analysis sheet" sheetId="6" r:id="rId9"/>
    <sheet state="visible" name="Working Sheet 3" sheetId="7" r:id="rId10"/>
    <sheet state="visible" name="Dashboard Sheet" sheetId="8" r:id="rId11"/>
  </sheets>
  <definedNames>
    <definedName name="_xlcn.WorksheetConnection_Tvisha_Jewlz_Intern_Assignment_Raw_Data.xlsxTable11">Table1[]</definedName>
    <definedName name="_xlcn.WorksheetConnection_Tvisha_Jewlz_Intern_Assignment_Raw_Data.xlsxTable131">Table13[]</definedName>
    <definedName name="_xlcn.WorksheetConnection_Tvisha_Jewlz_Intern_Assignment_Raw_Data.xlsxTable4471">Table447[]</definedName>
    <definedName name="Slicer_City1">#REF!</definedName>
    <definedName name="Slicer_Follow_up_Status1">#REF!</definedName>
    <definedName name="_xlcn.WorksheetConnection_Workingsheet2H4H101">'Working sheet 2'!$H$4:$H$10</definedName>
  </definedNames>
  <calcPr/>
  <pivotCaches>
    <pivotCache cacheId="0" r:id="rId12"/>
  </pivotCaches>
  <extLst>
    <ext uri="GoogleSheetsCustomDataVersion2">
      <go:sheetsCustomData xmlns:go="http://customooxmlschemas.google.com/" r:id="rId13" roundtripDataChecksum="sGq22CSlVLbLLs+ilkP3uxqSaNMRw1FzC9ZFCAhNmrw="/>
    </ext>
  </extLst>
</workbook>
</file>

<file path=xl/sharedStrings.xml><?xml version="1.0" encoding="utf-8"?>
<sst xmlns="http://schemas.openxmlformats.org/spreadsheetml/2006/main" count="1389" uniqueCount="176">
  <si>
    <t xml:space="preserve">
</t>
  </si>
  <si>
    <t>Customer Name</t>
  </si>
  <si>
    <t>Phone Number</t>
  </si>
  <si>
    <t>City</t>
  </si>
  <si>
    <t>Piece of Interest</t>
  </si>
  <si>
    <t>Follow-up Status</t>
  </si>
  <si>
    <t>Last Follow-up Date</t>
  </si>
  <si>
    <t>Remarks</t>
  </si>
  <si>
    <t>Valid Phone</t>
  </si>
  <si>
    <t>Column1</t>
  </si>
  <si>
    <t>Customer 7</t>
  </si>
  <si>
    <t>+91981207197</t>
  </si>
  <si>
    <t>Hyderabad</t>
  </si>
  <si>
    <t>Diamond Ring</t>
  </si>
  <si>
    <t>Closed</t>
  </si>
  <si>
    <t>23-08-2025</t>
  </si>
  <si>
    <t>low budget</t>
  </si>
  <si>
    <t>Customer 11</t>
  </si>
  <si>
    <t>316699969071</t>
  </si>
  <si>
    <t>Delhi</t>
  </si>
  <si>
    <t>Bridal Set</t>
  </si>
  <si>
    <t>Not Responded</t>
  </si>
  <si>
    <t>19-08-2025</t>
  </si>
  <si>
    <t>Customer 15</t>
  </si>
  <si>
    <t>07555537329</t>
  </si>
  <si>
    <t xml:space="preserve"> Jaipur</t>
  </si>
  <si>
    <t>Jadau Earrings</t>
  </si>
  <si>
    <t>Appointment Fixed</t>
  </si>
  <si>
    <t>18-08-2025</t>
  </si>
  <si>
    <t>Customer 16</t>
  </si>
  <si>
    <t>+91924004015</t>
  </si>
  <si>
    <t>Hyd</t>
  </si>
  <si>
    <t>Wants Callback</t>
  </si>
  <si>
    <t>07167705031</t>
  </si>
  <si>
    <t>Mumabi</t>
  </si>
  <si>
    <t>Contacted</t>
  </si>
  <si>
    <t>Customer 9</t>
  </si>
  <si>
    <t>07326304605</t>
  </si>
  <si>
    <t>Jaipur</t>
  </si>
  <si>
    <t>25-08-2025</t>
  </si>
  <si>
    <t>interested</t>
  </si>
  <si>
    <t>Customer 5</t>
  </si>
  <si>
    <t>+917452200799</t>
  </si>
  <si>
    <t>Mumbai</t>
  </si>
  <si>
    <t>Polki Necklace</t>
  </si>
  <si>
    <t>Pending</t>
  </si>
  <si>
    <t>High Budget</t>
  </si>
  <si>
    <t>Customer 2</t>
  </si>
  <si>
    <t>366479543551</t>
  </si>
  <si>
    <t>22-08-2025</t>
  </si>
  <si>
    <t>Customer 25</t>
  </si>
  <si>
    <t>+917238138275</t>
  </si>
  <si>
    <t>Comparing Options</t>
  </si>
  <si>
    <t>294307938915</t>
  </si>
  <si>
    <t>Bangalore</t>
  </si>
  <si>
    <t>16-08-2025</t>
  </si>
  <si>
    <t>07719529297</t>
  </si>
  <si>
    <t>237172709909</t>
  </si>
  <si>
    <t>Gold Bangles</t>
  </si>
  <si>
    <t>17-08-2025</t>
  </si>
  <si>
    <t>+91 9654384657</t>
  </si>
  <si>
    <t xml:space="preserve">Delhi </t>
  </si>
  <si>
    <t>Customer 8</t>
  </si>
  <si>
    <t>117040380882</t>
  </si>
  <si>
    <t>O</t>
  </si>
  <si>
    <t>+91 8676078088</t>
  </si>
  <si>
    <t>Interested</t>
  </si>
  <si>
    <t>Customer 1</t>
  </si>
  <si>
    <t>+918321936663</t>
  </si>
  <si>
    <t>969140392131</t>
  </si>
  <si>
    <t>+917541729247</t>
  </si>
  <si>
    <t>21-08-2025</t>
  </si>
  <si>
    <t>Customer 6</t>
  </si>
  <si>
    <t>09411182015</t>
  </si>
  <si>
    <t>Customer 21</t>
  </si>
  <si>
    <t>184634638538</t>
  </si>
  <si>
    <t>Bengluru</t>
  </si>
  <si>
    <t>Customer 20</t>
  </si>
  <si>
    <t>07857711890</t>
  </si>
  <si>
    <t>15-08-2025</t>
  </si>
  <si>
    <t>+919705030412</t>
  </si>
  <si>
    <t>+91890030316</t>
  </si>
  <si>
    <t>+91 9426142443</t>
  </si>
  <si>
    <t>+91805352028</t>
  </si>
  <si>
    <t>Customer 22</t>
  </si>
  <si>
    <t>+918966036820</t>
  </si>
  <si>
    <t>+91 8890833782</t>
  </si>
  <si>
    <t>+91969752546</t>
  </si>
  <si>
    <t>07752644151</t>
  </si>
  <si>
    <t>+91705363184</t>
  </si>
  <si>
    <t>Customer 24</t>
  </si>
  <si>
    <t>+91927038743</t>
  </si>
  <si>
    <t>08057410309</t>
  </si>
  <si>
    <t>09256072034</t>
  </si>
  <si>
    <t>Customer 3</t>
  </si>
  <si>
    <t>+91879307780</t>
  </si>
  <si>
    <t>Customer 12</t>
  </si>
  <si>
    <t>08132565651</t>
  </si>
  <si>
    <t>Lead_ID</t>
  </si>
  <si>
    <t>Phone number</t>
  </si>
  <si>
    <t>Phone status</t>
  </si>
  <si>
    <t>Low Budget</t>
  </si>
  <si>
    <t>924004015</t>
  </si>
  <si>
    <t>7452200799</t>
  </si>
  <si>
    <t>7238138275</t>
  </si>
  <si>
    <t>9654384657</t>
  </si>
  <si>
    <t>8676078088</t>
  </si>
  <si>
    <t>8321936663</t>
  </si>
  <si>
    <t>7541729247</t>
  </si>
  <si>
    <t>Not Updated</t>
  </si>
  <si>
    <t>9705030412</t>
  </si>
  <si>
    <t>890030316</t>
  </si>
  <si>
    <t>9426142443</t>
  </si>
  <si>
    <t>805352028</t>
  </si>
  <si>
    <t>8966036820</t>
  </si>
  <si>
    <t>8890833782</t>
  </si>
  <si>
    <t>969752546</t>
  </si>
  <si>
    <t>705363184</t>
  </si>
  <si>
    <t>927038743</t>
  </si>
  <si>
    <t>879307780</t>
  </si>
  <si>
    <t>Phone status-flag</t>
  </si>
  <si>
    <t>Customer 7 - 981207197</t>
  </si>
  <si>
    <t>invalid</t>
  </si>
  <si>
    <t>Customer 11 - 316699969071</t>
  </si>
  <si>
    <t>Customer 15 - 07555537329</t>
  </si>
  <si>
    <t>Customer 16 - 924004015</t>
  </si>
  <si>
    <t>Customer 7 - 07167705031</t>
  </si>
  <si>
    <t>Customer 9 - 07326304605</t>
  </si>
  <si>
    <t>Customer 5 - 7452200799</t>
  </si>
  <si>
    <t>valid</t>
  </si>
  <si>
    <t>Customer 2 - 366479543551</t>
  </si>
  <si>
    <t>Customer 25 - 7238138275</t>
  </si>
  <si>
    <t>Customer 2 - 294307938915</t>
  </si>
  <si>
    <t>Customer 16 - 07719529297</t>
  </si>
  <si>
    <t>Customer 16 - 237172709909</t>
  </si>
  <si>
    <t>Customer 7 - 9654384657</t>
  </si>
  <si>
    <t>Customer 8 - 117040380882</t>
  </si>
  <si>
    <t>Customer 2 - 8676078088</t>
  </si>
  <si>
    <t>Customer 1 - 8321936663</t>
  </si>
  <si>
    <t>Customer 1 - 969140392131</t>
  </si>
  <si>
    <t>Customer 16 - 7541729247</t>
  </si>
  <si>
    <t>Customer 6 - 09411182015</t>
  </si>
  <si>
    <t>Customer 21 - 184634638538</t>
  </si>
  <si>
    <t>Customer 20 - 07857711890</t>
  </si>
  <si>
    <t>Customer 11 - 9705030412</t>
  </si>
  <si>
    <t>Customer 6 - 890030316</t>
  </si>
  <si>
    <t>Customer 5 - 9426142443</t>
  </si>
  <si>
    <t>Customer 6 - 805352028</t>
  </si>
  <si>
    <t>Customer 22 - 8966036820</t>
  </si>
  <si>
    <t>Customer 9 - 8890833782</t>
  </si>
  <si>
    <t>Customer 25 - 969752546</t>
  </si>
  <si>
    <t>Customer 25 - 07752644151</t>
  </si>
  <si>
    <t>Customer 1 - 705363184</t>
  </si>
  <si>
    <t>Customer 24 - 927038743</t>
  </si>
  <si>
    <t>Customer 5 - 08057410309</t>
  </si>
  <si>
    <t>Customer 1 - 09256072034</t>
  </si>
  <si>
    <t>Customer 3 - 879307780</t>
  </si>
  <si>
    <t>Customer 12 - 08132565651</t>
  </si>
  <si>
    <t>Follow-up status pending for more than 5 days</t>
  </si>
  <si>
    <t>Days Since Last Follow-up</t>
  </si>
  <si>
    <t>Follow-up status flag</t>
  </si>
  <si>
    <t>No. of Leads per city</t>
  </si>
  <si>
    <t>No. of Leads by Follow-up Status</t>
  </si>
  <si>
    <t>% Conversion Rate per city</t>
  </si>
  <si>
    <t>% Conversion Rate</t>
  </si>
  <si>
    <t>No. of leads</t>
  </si>
  <si>
    <t>No. of Leads</t>
  </si>
  <si>
    <t>Customer name</t>
  </si>
  <si>
    <t>not_updated</t>
  </si>
  <si>
    <t>Analysis sheet</t>
  </si>
  <si>
    <t>Leads marked “Interested” but still “Not Responded.”</t>
  </si>
  <si>
    <t>Count of Lead_ID</t>
  </si>
  <si>
    <t>Grand Total</t>
  </si>
  <si>
    <t>Count of Lead_ID2</t>
  </si>
  <si>
    <t>Row Labels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</si>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</sst>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5.0"/>
      <color theme="1"/>
      <name val="Calibri"/>
    </font>
    <font>
      <sz val="11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14.0"/>
      <color theme="1"/>
      <name val="Calibri"/>
    </font>
    <font>
      <b/>
      <sz val="11.0"/>
      <color rgb="FFFFFFFF"/>
      <name val="Calibri"/>
    </font>
    <font>
      <sz val="11.0"/>
      <color rgb="FF9C5700"/>
      <name val="Calibri"/>
    </font>
    <font>
      <sz val="11.0"/>
      <color rgb="FF006100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b/>
      <sz val="18.0"/>
      <color theme="1"/>
      <name val="Calibri"/>
    </font>
    <font>
      <sz val="10.0"/>
      <color theme="1"/>
      <name val="Arim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DDDE1"/>
        <bgColor rgb="FFCDDDE1"/>
      </patternFill>
    </fill>
    <fill>
      <patternFill patternType="solid">
        <fgColor rgb="FFFFEB9C"/>
        <bgColor rgb="FFFFEB9C"/>
      </patternFill>
    </fill>
    <fill>
      <patternFill patternType="solid">
        <fgColor rgb="FFD4EAF3"/>
        <bgColor rgb="FFD4EAF3"/>
      </patternFill>
    </fill>
    <fill>
      <patternFill patternType="solid">
        <fgColor rgb="FFC6EFCE"/>
        <bgColor rgb="FFC6EFCE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75B5E4"/>
        <bgColor rgb="FF75B5E4"/>
      </patternFill>
    </fill>
    <fill>
      <patternFill patternType="solid">
        <fgColor rgb="FFB5CDD3"/>
        <bgColor rgb="FFB5CDD3"/>
      </patternFill>
    </fill>
    <fill>
      <patternFill patternType="solid">
        <fgColor rgb="FFF6F8F9"/>
        <bgColor rgb="FFF6F8F9"/>
      </patternFill>
    </fill>
    <fill>
      <patternFill patternType="solid">
        <fgColor rgb="FFACD7CA"/>
        <bgColor rgb="FFACD7CA"/>
      </patternFill>
    </fill>
    <fill>
      <patternFill patternType="solid">
        <fgColor rgb="FF9AD3D9"/>
        <bgColor rgb="FF9AD3D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ABABAB"/>
      </left>
      <top style="thin">
        <color rgb="FFABABAB"/>
      </top>
    </border>
    <border>
      <left style="thin">
        <color rgb="FFABABAB"/>
      </left>
      <right style="thin">
        <color rgb="FFABABAB"/>
      </righ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top style="thin">
        <color rgb="FFABABAB"/>
      </top>
    </border>
    <border>
      <left style="thin">
        <color rgb="FFABABAB"/>
      </left>
      <top style="thin">
        <color rgb="FFFFFFFF"/>
      </top>
    </border>
    <border>
      <left style="thin">
        <color rgb="FFABABAB"/>
      </left>
      <right style="thin">
        <color rgb="FFABABAB"/>
      </right>
      <top style="thin">
        <color rgb="FFFFFFFF"/>
      </top>
    </border>
    <border>
      <top style="thin">
        <color rgb="FFFFFFFF"/>
      </top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top style="thin">
        <color rgb="FFABABAB"/>
      </top>
      <bottom style="thin">
        <color rgb="FFABABA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readingOrder="0" shrinkToFit="0" wrapText="0"/>
    </xf>
    <xf borderId="0" fillId="2" fontId="3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4" numFmtId="0" xfId="0" applyAlignment="1" applyFont="1">
      <alignment horizontal="left" readingOrder="0" shrinkToFit="0" wrapText="0"/>
    </xf>
    <xf borderId="1" fillId="3" fontId="5" numFmtId="0" xfId="0" applyAlignment="1" applyBorder="1" applyFill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3" fillId="3" fontId="3" numFmtId="0" xfId="0" applyAlignment="1" applyBorder="1" applyFont="1">
      <alignment horizontal="left" vertical="center"/>
    </xf>
    <xf borderId="2" fillId="3" fontId="3" numFmtId="0" xfId="0" applyBorder="1" applyFont="1"/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Border="1" applyFont="1"/>
    <xf borderId="5" fillId="0" fontId="3" numFmtId="0" xfId="0" applyBorder="1" applyFont="1"/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9" fillId="0" fontId="3" numFmtId="0" xfId="0" applyBorder="1" applyFont="1"/>
    <xf borderId="11" fillId="3" fontId="6" numFmtId="0" xfId="0" applyBorder="1" applyFont="1"/>
    <xf borderId="1" fillId="3" fontId="5" numFmtId="1" xfId="0" applyAlignment="1" applyBorder="1" applyFont="1" applyNumberFormat="1">
      <alignment horizontal="left" vertical="top"/>
    </xf>
    <xf borderId="0" fillId="0" fontId="1" numFmtId="0" xfId="0" applyFont="1"/>
    <xf borderId="4" fillId="0" fontId="3" numFmtId="1" xfId="0" applyAlignment="1" applyBorder="1" applyFont="1" applyNumberFormat="1">
      <alignment horizontal="left" vertical="center"/>
    </xf>
    <xf borderId="8" fillId="0" fontId="3" numFmtId="1" xfId="0" applyAlignment="1" applyBorder="1" applyFont="1" applyNumberFormat="1">
      <alignment horizontal="left" vertical="center"/>
    </xf>
    <xf borderId="4" fillId="0" fontId="3" numFmtId="0" xfId="0" applyBorder="1" applyFont="1"/>
    <xf borderId="5" fillId="0" fontId="3" numFmtId="2" xfId="0" applyBorder="1" applyFont="1" applyNumberForma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7" fillId="0" fontId="3" numFmtId="0" xfId="0" applyBorder="1" applyFont="1"/>
    <xf borderId="7" fillId="0" fontId="3" numFmtId="1" xfId="0" applyAlignment="1" applyBorder="1" applyFont="1" applyNumberFormat="1">
      <alignment horizontal="left"/>
    </xf>
    <xf borderId="5" fillId="0" fontId="3" numFmtId="0" xfId="0" applyBorder="1" applyFont="1"/>
    <xf borderId="5" fillId="0" fontId="3" numFmtId="1" xfId="0" applyAlignment="1" applyBorder="1" applyFont="1" applyNumberFormat="1">
      <alignment horizontal="left"/>
    </xf>
    <xf borderId="0" fillId="0" fontId="5" numFmtId="0" xfId="0" applyFont="1"/>
    <xf borderId="0" fillId="0" fontId="7" numFmtId="0" xfId="0" applyAlignment="1" applyFont="1">
      <alignment horizontal="center"/>
    </xf>
    <xf borderId="3" fillId="3" fontId="8" numFmtId="0" xfId="0" applyAlignment="1" applyBorder="1" applyFont="1">
      <alignment horizontal="center" vertical="top"/>
    </xf>
    <xf borderId="0" fillId="0" fontId="1" numFmtId="0" xfId="0" applyFont="1"/>
    <xf borderId="15" fillId="0" fontId="3" numFmtId="0" xfId="0" applyBorder="1" applyFont="1"/>
    <xf borderId="16" fillId="0" fontId="3" numFmtId="0" xfId="0" applyBorder="1" applyFont="1"/>
    <xf borderId="0" fillId="0" fontId="5" numFmtId="0" xfId="0" applyAlignment="1" applyFont="1">
      <alignment horizontal="center"/>
    </xf>
    <xf borderId="6" fillId="0" fontId="3" numFmtId="0" xfId="0" applyBorder="1" applyFont="1"/>
    <xf borderId="5" fillId="4" fontId="9" numFmtId="0" xfId="0" applyBorder="1" applyFill="1" applyFont="1"/>
    <xf borderId="5" fillId="5" fontId="3" numFmtId="0" xfId="0" applyBorder="1" applyFill="1" applyFont="1"/>
    <xf borderId="5" fillId="6" fontId="10" numFmtId="0" xfId="0" applyBorder="1" applyFill="1" applyFont="1"/>
    <xf borderId="5" fillId="4" fontId="9" numFmtId="9" xfId="0" applyBorder="1" applyFont="1" applyNumberFormat="1"/>
    <xf borderId="5" fillId="7" fontId="5" numFmtId="0" xfId="0" applyBorder="1" applyFill="1" applyFont="1"/>
    <xf borderId="5" fillId="7" fontId="3" numFmtId="0" xfId="0" applyAlignment="1" applyBorder="1" applyFont="1">
      <alignment vertical="center"/>
    </xf>
    <xf borderId="5" fillId="7" fontId="3" numFmtId="1" xfId="0" applyBorder="1" applyFont="1" applyNumberFormat="1"/>
    <xf borderId="0" fillId="0" fontId="3" numFmtId="10" xfId="0" applyFont="1" applyNumberFormat="1"/>
    <xf borderId="0" fillId="0" fontId="11" numFmtId="0" xfId="0" applyAlignment="1" applyFont="1">
      <alignment horizontal="center"/>
    </xf>
    <xf borderId="17" fillId="0" fontId="12" numFmtId="0" xfId="0" applyAlignment="1" applyBorder="1" applyFont="1">
      <alignment horizontal="center"/>
    </xf>
    <xf borderId="17" fillId="0" fontId="13" numFmtId="0" xfId="0" applyBorder="1" applyFont="1"/>
    <xf borderId="18" fillId="0" fontId="12" numFmtId="0" xfId="0" applyAlignment="1" applyBorder="1" applyFont="1">
      <alignment horizontal="center"/>
    </xf>
    <xf borderId="18" fillId="0" fontId="13" numFmtId="0" xfId="0" applyBorder="1" applyFont="1"/>
    <xf borderId="0" fillId="0" fontId="12" numFmtId="0" xfId="0" applyAlignment="1" applyFont="1">
      <alignment horizontal="center"/>
    </xf>
    <xf borderId="0" fillId="0" fontId="12" numFmtId="0" xfId="0" applyFont="1"/>
    <xf borderId="12" fillId="8" fontId="3" numFmtId="0" xfId="0" applyBorder="1" applyFill="1" applyFont="1"/>
    <xf borderId="13" fillId="8" fontId="3" numFmtId="0" xfId="0" applyBorder="1" applyFont="1"/>
    <xf borderId="19" fillId="8" fontId="3" numFmtId="0" xfId="0" applyBorder="1" applyFont="1"/>
    <xf borderId="14" fillId="8" fontId="3" numFmtId="0" xfId="0" applyBorder="1" applyFont="1"/>
    <xf borderId="5" fillId="9" fontId="3" numFmtId="0" xfId="0" applyBorder="1" applyFill="1" applyFont="1"/>
    <xf borderId="5" fillId="10" fontId="3" numFmtId="0" xfId="0" applyBorder="1" applyFill="1" applyFont="1"/>
    <xf borderId="5" fillId="2" fontId="3" numFmtId="0" xfId="0" applyAlignment="1" applyBorder="1" applyFont="1">
      <alignment vertical="center"/>
    </xf>
    <xf borderId="0" fillId="0" fontId="3" numFmtId="0" xfId="0" applyAlignment="1" applyFont="1">
      <alignment horizontal="left"/>
    </xf>
    <xf borderId="5" fillId="11" fontId="3" numFmtId="0" xfId="0" applyAlignment="1" applyBorder="1" applyFill="1" applyFont="1">
      <alignment vertical="center"/>
    </xf>
    <xf borderId="5" fillId="12" fontId="3" numFmtId="0" xfId="0" applyBorder="1" applyFill="1" applyFont="1"/>
    <xf borderId="5" fillId="13" fontId="3" numFmtId="0" xfId="0" applyBorder="1" applyFill="1" applyFont="1"/>
    <xf borderId="5" fillId="0" fontId="3" numFmtId="9" xfId="0" applyBorder="1" applyFont="1" applyNumberForma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0" fillId="0" fontId="3" numFmtId="0" xfId="0" applyAlignment="1" applyBorder="1" applyFont="1">
      <alignment horizontal="left"/>
    </xf>
    <xf borderId="24" fillId="0" fontId="3" numFmtId="0" xfId="0" applyBorder="1" applyFont="1"/>
    <xf borderId="25" fillId="0" fontId="3" numFmtId="0" xfId="0" applyAlignment="1" applyBorder="1" applyFont="1">
      <alignment horizontal="left"/>
    </xf>
    <xf borderId="26" fillId="0" fontId="3" numFmtId="0" xfId="0" applyBorder="1" applyFont="1"/>
    <xf borderId="20" fillId="0" fontId="3" numFmtId="9" xfId="0" applyBorder="1" applyFont="1" applyNumberFormat="1"/>
    <xf borderId="24" fillId="0" fontId="3" numFmtId="9" xfId="0" applyBorder="1" applyFont="1" applyNumberFormat="1"/>
    <xf borderId="21" fillId="0" fontId="3" numFmtId="9" xfId="0" applyBorder="1" applyFont="1" applyNumberFormat="1"/>
    <xf borderId="25" fillId="0" fontId="3" numFmtId="9" xfId="0" applyBorder="1" applyFont="1" applyNumberFormat="1"/>
    <xf borderId="27" fillId="0" fontId="3" numFmtId="9" xfId="0" applyBorder="1" applyFont="1" applyNumberFormat="1"/>
    <xf borderId="26" fillId="0" fontId="3" numFmtId="9" xfId="0" applyBorder="1" applyFont="1" applyNumberFormat="1"/>
    <xf borderId="28" fillId="0" fontId="3" numFmtId="0" xfId="0" applyAlignment="1" applyBorder="1" applyFont="1">
      <alignment horizontal="left"/>
    </xf>
    <xf borderId="29" fillId="0" fontId="3" numFmtId="0" xfId="0" applyBorder="1" applyFont="1"/>
    <xf borderId="28" fillId="0" fontId="3" numFmtId="9" xfId="0" applyBorder="1" applyFont="1" applyNumberFormat="1"/>
    <xf borderId="30" fillId="0" fontId="3" numFmtId="9" xfId="0" applyBorder="1" applyFont="1" applyNumberFormat="1"/>
    <xf borderId="29" fillId="0" fontId="3" numFmtId="9" xfId="0" applyBorder="1" applyFont="1" applyNumberFormat="1"/>
    <xf borderId="21" fillId="0" fontId="3" numFmtId="0" xfId="0" applyAlignment="1" applyBorder="1" applyFont="1">
      <alignment horizontal="left"/>
    </xf>
    <xf borderId="0" fillId="0" fontId="3" numFmtId="9" xfId="0" applyFont="1" applyNumberFormat="1"/>
    <xf borderId="26" fillId="0" fontId="3" numFmtId="0" xfId="0" applyAlignment="1" applyBorder="1" applyFont="1">
      <alignment horizontal="left"/>
    </xf>
    <xf borderId="29" fillId="0" fontId="3" numFmtId="0" xfId="0" applyAlignment="1" applyBorder="1" applyFont="1">
      <alignment horizontal="left"/>
    </xf>
    <xf borderId="11" fillId="14" fontId="3" numFmtId="0" xfId="0" applyBorder="1" applyFill="1" applyFont="1"/>
    <xf borderId="31" fillId="14" fontId="14" numFmtId="0" xfId="0" applyAlignment="1" applyBorder="1" applyFont="1">
      <alignment horizontal="center"/>
    </xf>
    <xf borderId="32" fillId="0" fontId="13" numFmtId="0" xfId="0" applyBorder="1" applyFont="1"/>
    <xf borderId="33" fillId="0" fontId="13" numFmtId="0" xfId="0" applyBorder="1" applyFont="1"/>
    <xf borderId="11" fillId="15" fontId="5" numFmtId="0" xfId="0" applyAlignment="1" applyBorder="1" applyFill="1" applyFont="1">
      <alignment horizontal="center" shrinkToFit="0" vertical="center" wrapText="1"/>
    </xf>
    <xf borderId="11" fillId="15" fontId="5" numFmtId="0" xfId="0" applyAlignment="1" applyBorder="1" applyFont="1">
      <alignment shrinkToFit="0" vertical="center" wrapText="1"/>
    </xf>
    <xf borderId="11" fillId="15" fontId="15" numFmtId="0" xfId="0" applyAlignment="1" applyBorder="1" applyFont="1">
      <alignment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5">
    <tableStyle count="3" pivot="0" name="Original Sheet-style">
      <tableStyleElement dxfId="1" type="headerRow"/>
      <tableStyleElement dxfId="2" type="firstRowStripe"/>
      <tableStyleElement dxfId="3" type="secondRowStripe"/>
    </tableStyle>
    <tableStyle count="3" pivot="0" name="Working sheet 1-style">
      <tableStyleElement dxfId="4" type="headerRow"/>
      <tableStyleElement dxfId="5" type="firstRowStripe"/>
      <tableStyleElement dxfId="5" type="secondRowStripe"/>
    </tableStyle>
    <tableStyle count="3" pivot="0" name="Working sheet 1-style 2">
      <tableStyleElement dxfId="1" type="headerRow"/>
      <tableStyleElement dxfId="2" type="firstRowStripe"/>
      <tableStyleElement dxfId="3" type="secondRowStripe"/>
    </tableStyle>
    <tableStyle count="3" pivot="0" name="Working sheet 2-style">
      <tableStyleElement dxfId="4" type="headerRow"/>
      <tableStyleElement dxfId="5" type="firstRowStripe"/>
      <tableStyleElement dxfId="5" type="secondRowStripe"/>
    </tableStyle>
    <tableStyle count="3" pivot="0" name="Analysis sheet-style">
      <tableStyleElement dxfId="4" type="headerRow"/>
      <tableStyleElement dxfId="5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'Working Sheet 3'!$B$2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2683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'Working Sheet 3'!$A$3:$A$8</c:f>
            </c:strRef>
          </c:cat>
          <c:val>
            <c:numRef>
              <c:f>'Working Sheet 3'!$B$3:$B$8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'Working Sheet 3'!$D$3:$D$8</c:f>
            </c:strRef>
          </c:cat>
          <c:val>
            <c:numRef>
              <c:f>'Working Sheet 3'!$E$3:$E$8</c:f>
              <c:numCache/>
            </c:numRef>
          </c:val>
        </c:ser>
        <c:overlap val="100"/>
        <c:axId val="622339460"/>
        <c:axId val="277364680"/>
      </c:barChart>
      <c:catAx>
        <c:axId val="622339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7364680"/>
      </c:catAx>
      <c:valAx>
        <c:axId val="277364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233946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Appointment Fixed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3'!$B$15:$B$20</c:f>
              <c:numCache/>
            </c:numRef>
          </c:val>
        </c:ser>
        <c:ser>
          <c:idx val="1"/>
          <c:order val="1"/>
          <c:tx>
            <c:v>Closed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3'!$C$15:$C$20</c:f>
              <c:numCache/>
            </c:numRef>
          </c:val>
        </c:ser>
        <c:ser>
          <c:idx val="2"/>
          <c:order val="2"/>
          <c:tx>
            <c:v>Contacted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3'!$D$15:$D$20</c:f>
              <c:numCache/>
            </c:numRef>
          </c:val>
        </c:ser>
        <c:ser>
          <c:idx val="3"/>
          <c:order val="3"/>
          <c:tx>
            <c:v>Not Responded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3'!$E$15:$E$20</c:f>
              <c:numCache/>
            </c:numRef>
          </c:val>
        </c:ser>
        <c:ser>
          <c:idx val="4"/>
          <c:order val="4"/>
          <c:tx>
            <c:v>Pending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3'!$F$15:$F$20</c:f>
              <c:numCache/>
            </c:numRef>
          </c:val>
        </c:ser>
        <c:overlap val="100"/>
        <c:axId val="854955670"/>
        <c:axId val="305161408"/>
      </c:barChart>
      <c:catAx>
        <c:axId val="8549556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5161408"/>
      </c:catAx>
      <c:valAx>
        <c:axId val="3051614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4955670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Appointment Fixed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3'!$B$15:$B$20</c:f>
              <c:numCache/>
            </c:numRef>
          </c:val>
        </c:ser>
        <c:ser>
          <c:idx val="1"/>
          <c:order val="1"/>
          <c:tx>
            <c:v>Closed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3'!$C$15:$C$20</c:f>
              <c:numCache/>
            </c:numRef>
          </c:val>
        </c:ser>
        <c:ser>
          <c:idx val="2"/>
          <c:order val="2"/>
          <c:tx>
            <c:v>Contacted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3'!$D$15:$D$20</c:f>
              <c:numCache/>
            </c:numRef>
          </c:val>
        </c:ser>
        <c:ser>
          <c:idx val="3"/>
          <c:order val="3"/>
          <c:tx>
            <c:v>Not Responded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3'!$E$15:$E$20</c:f>
              <c:numCache/>
            </c:numRef>
          </c:val>
        </c:ser>
        <c:ser>
          <c:idx val="4"/>
          <c:order val="4"/>
          <c:tx>
            <c:v>Pending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3'!$F$15:$F$20</c:f>
              <c:numCache/>
            </c:numRef>
          </c:val>
        </c:ser>
        <c:overlap val="100"/>
        <c:axId val="464922262"/>
        <c:axId val="368705786"/>
      </c:barChart>
      <c:catAx>
        <c:axId val="4649222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8705786"/>
      </c:catAx>
      <c:valAx>
        <c:axId val="3687057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4922262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Leads by City</a:t>
            </a:r>
          </a:p>
        </c:rich>
      </c:tx>
      <c:layout>
        <c:manualLayout>
          <c:xMode val="edge"/>
          <c:yMode val="edge"/>
          <c:x val="0.27464335906666926"/>
          <c:y val="0.02185792349726776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'Working Sheet 3'!$B$2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2683C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'Working Sheet 3'!$A$3:$A$8</c:f>
            </c:strRef>
          </c:cat>
          <c:val>
            <c:numRef>
              <c:f>'Working Sheet 3'!$B$3:$B$8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Follow-up Status Breakdown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'Working Sheet 3'!$D$3:$D$8</c:f>
            </c:strRef>
          </c:cat>
          <c:val>
            <c:numRef>
              <c:f>'Working Sheet 3'!$E$3:$E$8</c:f>
              <c:numCache/>
            </c:numRef>
          </c:val>
        </c:ser>
        <c:overlap val="100"/>
        <c:axId val="1426333265"/>
        <c:axId val="729192038"/>
      </c:barChart>
      <c:catAx>
        <c:axId val="1426333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9192038"/>
      </c:catAx>
      <c:valAx>
        <c:axId val="729192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N0. of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6333265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Conversion Rate per City</a:t>
            </a:r>
          </a:p>
        </c:rich>
      </c:tx>
      <c:overlay val="0"/>
    </c:title>
    <c:plotArea>
      <c:layout>
        <c:manualLayout>
          <c:xMode val="edge"/>
          <c:yMode val="edge"/>
          <c:x val="0.2373022996477772"/>
          <c:y val="0.37995321607526333"/>
          <c:w val="0.6816204969197504"/>
          <c:h val="0.5215713092681596"/>
        </c:manualLayout>
      </c:layout>
      <c:barChart>
        <c:barDir val="bar"/>
        <c:ser>
          <c:idx val="0"/>
          <c:order val="0"/>
          <c:tx>
            <c:v>Appointment Fixed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3'!$B$15:$B$20</c:f>
              <c:numCache/>
            </c:numRef>
          </c:val>
        </c:ser>
        <c:ser>
          <c:idx val="1"/>
          <c:order val="1"/>
          <c:tx>
            <c:v>Closed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3'!$C$15:$C$20</c:f>
              <c:numCache/>
            </c:numRef>
          </c:val>
        </c:ser>
        <c:ser>
          <c:idx val="2"/>
          <c:order val="2"/>
          <c:tx>
            <c:v>Contacted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3'!$D$15:$D$20</c:f>
              <c:numCache/>
            </c:numRef>
          </c:val>
        </c:ser>
        <c:ser>
          <c:idx val="3"/>
          <c:order val="3"/>
          <c:tx>
            <c:v>Not Responded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3'!$E$15:$E$20</c:f>
              <c:numCache/>
            </c:numRef>
          </c:val>
        </c:ser>
        <c:ser>
          <c:idx val="4"/>
          <c:order val="4"/>
          <c:tx>
            <c:v>Pending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'Working Sheet 3'!$A$15:$A$20</c:f>
            </c:strRef>
          </c:cat>
          <c:val>
            <c:numRef>
              <c:f>'Working Sheet 3'!$F$15:$F$20</c:f>
              <c:numCache/>
            </c:numRef>
          </c:val>
        </c:ser>
        <c:axId val="250497708"/>
        <c:axId val="721617522"/>
      </c:barChart>
      <c:catAx>
        <c:axId val="2504977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1617522"/>
      </c:catAx>
      <c:valAx>
        <c:axId val="7216175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0497708"/>
        <c:crosses val="max"/>
      </c:valAx>
    </c:plotArea>
    <c:legend>
      <c:legendPos val="t"/>
      <c:layout>
        <c:manualLayout>
          <c:xMode val="edge"/>
          <c:yMode val="edge"/>
          <c:x val="0.04286782804999116"/>
          <c:y val="0.17364718614718613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0</xdr:row>
      <xdr:rowOff>76200</xdr:rowOff>
    </xdr:from>
    <xdr:ext cx="5305425" cy="4724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0" cy="1676400"/>
    <xdr:graphicFrame>
      <xdr:nvGraphicFramePr>
        <xdr:cNvPr id="1294219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647700</xdr:colOff>
      <xdr:row>0</xdr:row>
      <xdr:rowOff>0</xdr:rowOff>
    </xdr:from>
    <xdr:ext cx="2000250" cy="1685925"/>
    <xdr:graphicFrame>
      <xdr:nvGraphicFramePr>
        <xdr:cNvPr id="191814669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771525</xdr:colOff>
      <xdr:row>8</xdr:row>
      <xdr:rowOff>28575</xdr:rowOff>
    </xdr:from>
    <xdr:ext cx="4438650" cy="361950"/>
    <xdr:graphicFrame>
      <xdr:nvGraphicFramePr>
        <xdr:cNvPr id="112386456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666750</xdr:colOff>
      <xdr:row>10</xdr:row>
      <xdr:rowOff>76200</xdr:rowOff>
    </xdr:from>
    <xdr:ext cx="3838575" cy="2714625"/>
    <xdr:graphicFrame>
      <xdr:nvGraphicFramePr>
        <xdr:cNvPr id="84636984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743325" cy="2295525"/>
    <xdr:graphicFrame>
      <xdr:nvGraphicFramePr>
        <xdr:cNvPr id="130241413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38100</xdr:colOff>
      <xdr:row>1</xdr:row>
      <xdr:rowOff>9525</xdr:rowOff>
    </xdr:from>
    <xdr:ext cx="3800475" cy="2286000"/>
    <xdr:graphicFrame>
      <xdr:nvGraphicFramePr>
        <xdr:cNvPr id="38343268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400050</xdr:colOff>
      <xdr:row>1</xdr:row>
      <xdr:rowOff>28575</xdr:rowOff>
    </xdr:from>
    <xdr:ext cx="3676650" cy="2266950"/>
    <xdr:graphicFrame>
      <xdr:nvGraphicFramePr>
        <xdr:cNvPr id="60454887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285750</xdr:colOff>
      <xdr:row>14</xdr:row>
      <xdr:rowOff>76200</xdr:rowOff>
    </xdr:from>
    <xdr:ext cx="11439525" cy="2228850"/>
    <xdr:sp>
      <xdr:nvSpPr>
        <xdr:cNvPr id="3" name="Shape 3"/>
        <xdr:cNvSpPr txBox="1"/>
      </xdr:nvSpPr>
      <xdr:spPr>
        <a:xfrm>
          <a:off x="0" y="2670338"/>
          <a:ext cx="10692000" cy="2219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City-Wise Insights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Hyderabad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leads with the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highest number of leads (10)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a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conversion rate of 50%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showing strong customer engagement and closure effectiveness.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Mumbai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has the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most total leads (11)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but a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lower conversion rate (18%)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indicating high interest but weaker closure rates.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Bangalore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shows a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 conversion rate (67%)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despite fewer leads, suggesting efficient follow-ups.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Delhi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has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moderate leads (6)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but a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low conversion rate (17%)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showing potential improvement in converting interest into sales.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Jaipur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has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 conversions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meaning follow-up or engagement strategies need attention there.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Follow-up Status Insights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Closed: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10 leads — indicating good progress in conversions.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Contacted: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9 leads — show active engagement in process.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Pending (8)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 Responded (6)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together form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40% of all leads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showing a gap where team follow-ups can improve.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Appointment Fixed (2)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is low — the team could focus on scheduling more meetings or demos to increase conversion potential.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6" sheet="Cleaned_Data"/>
  </cacheSource>
  <cacheFields>
    <cacheField name="Lead_ID" numFmtId="0">
      <sharedItems>
        <s v="Customer 7 - 981207197"/>
        <s v="Customer 11 - 316699969071"/>
        <s v="Customer 15 - 07555537329"/>
        <s v="Customer 16 - 924004015"/>
        <s v="Customer 7 - 07167705031"/>
        <s v="Customer 9 - 07326304605"/>
        <s v="Customer 5 - 7452200799"/>
        <s v="Customer 2 - 366479543551"/>
        <s v="Customer 25 - 7238138275"/>
        <s v="Customer 2 - 294307938915"/>
        <s v="Customer 16 - 07719529297"/>
        <s v="Customer 16 - 237172709909"/>
        <s v="Customer 7 - 9654384657"/>
        <s v="Customer 8 - 117040380882"/>
        <s v="Customer 2 - 8676078088"/>
        <s v="Customer 1 - 8321936663"/>
        <s v="Customer 1 - 969140392131"/>
        <s v="Customer 16 - 7541729247"/>
        <s v="Customer 6 - 09411182015"/>
        <s v="Customer 21 - 184634638538"/>
        <s v="Customer 20 - 07857711890"/>
        <s v="Customer 11 - 9705030412"/>
        <s v="Customer 6 - 890030316"/>
        <s v="Customer 5 - 9426142443"/>
        <s v="Customer 6 - 805352028"/>
        <s v="Customer 22 - 8966036820"/>
        <s v="Customer 9 - 8890833782"/>
        <s v="Customer 25 - 969752546"/>
        <s v="Customer 25 - 07752644151"/>
        <s v="Customer 1 - 705363184"/>
        <s v="Customer 24 - 927038743"/>
        <s v="Customer 5 - 08057410309"/>
        <s v="Customer 1 - 09256072034"/>
        <s v="Customer 3 - 879307780"/>
        <s v="Customer 12 - 08132565651"/>
      </sharedItems>
    </cacheField>
    <cacheField name="Customer Name" numFmtId="0">
      <sharedItems>
        <s v="Customer 7"/>
        <s v="Customer 11"/>
        <s v="Customer 15"/>
        <s v="Customer 16"/>
        <s v="Customer 9"/>
        <s v="Customer 5"/>
        <s v="Customer 2"/>
        <s v="Customer 25"/>
        <s v="Customer 8"/>
        <s v="Customer 1"/>
        <s v="Customer 6"/>
        <s v="Customer 21"/>
        <s v="Customer 20"/>
        <s v="Customer 22"/>
        <s v="Customer 24"/>
        <s v="Customer 3"/>
        <s v="Customer 12"/>
      </sharedItems>
    </cacheField>
    <cacheField name="Phone number">
      <sharedItems containsMixedTypes="1" containsNumber="1" containsInteger="1">
        <n v="9.81207197E8"/>
        <n v="3.16699969071E11"/>
        <s v="07555537329"/>
        <s v="924004015"/>
        <s v="07167705031"/>
        <s v="07326304605"/>
        <s v="7452200799"/>
        <s v="366479543551"/>
        <s v="7238138275"/>
        <s v="294307938915"/>
        <s v="07719529297"/>
        <s v="237172709909"/>
        <s v="9654384657"/>
        <s v="117040380882"/>
        <s v="8676078088"/>
        <s v="8321936663"/>
        <s v="969140392131"/>
        <s v="7541729247"/>
        <s v="09411182015"/>
        <s v="184634638538"/>
        <s v="07857711890"/>
        <s v="9705030412"/>
        <s v="890030316"/>
        <s v="9426142443"/>
        <s v="805352028"/>
        <s v="8966036820"/>
        <s v="8890833782"/>
        <s v="969752546"/>
        <s v="07752644151"/>
        <s v="705363184"/>
        <s v="927038743"/>
        <s v="08057410309"/>
        <s v="09256072034"/>
        <s v="879307780"/>
        <s v="08132565651"/>
      </sharedItems>
    </cacheField>
    <cacheField name="Phone status-flag" numFmtId="0">
      <sharedItems>
        <s v="invalid"/>
        <s v="valid"/>
      </sharedItems>
    </cacheField>
    <cacheField name="City" numFmtId="0">
      <sharedItems>
        <s v="Hyderabad"/>
        <s v="Delhi"/>
        <s v="Jaipur"/>
        <s v="Mumbai"/>
        <s v="Bangalore"/>
      </sharedItems>
    </cacheField>
    <cacheField name="Piece of Interest" numFmtId="0">
      <sharedItems>
        <s v="Diamond Ring"/>
        <s v="Bridal Set"/>
        <s v="Jadau Earrings"/>
        <s v="Polki Necklace"/>
        <s v="Gold Bangles"/>
      </sharedItems>
    </cacheField>
    <cacheField name="Follow-up Status" numFmtId="0">
      <sharedItems>
        <s v="Closed"/>
        <s v="Not Responded"/>
        <s v="Appointment Fixed"/>
        <s v="Contacted"/>
        <s v="Pending"/>
      </sharedItems>
    </cacheField>
    <cacheField name="Last Follow-up Date" numFmtId="0">
      <sharedItems>
        <s v="23-08-2025"/>
        <s v="19-08-2025"/>
        <s v="18-08-2025"/>
        <s v="25-08-2025"/>
        <s v="22-08-2025"/>
        <s v="16-08-2025"/>
        <s v="17-08-2025"/>
        <s v="21-08-2025"/>
        <s v="Not Updated"/>
        <s v="15-08-2025"/>
      </sharedItems>
    </cacheField>
    <cacheField name="Remarks" numFmtId="0">
      <sharedItems>
        <s v="Low Budget"/>
        <s v="Wants Callback"/>
        <s v="Interested"/>
        <s v="High Budget"/>
        <s v="Comparing Option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orking Sheet 3" cacheId="0" dataCaption="" compact="0" compactData="0">
  <location ref="A2:B8" firstHeaderRow="0" firstDataRow="1" firstDataCol="0"/>
  <pivotFields>
    <pivotField name="Lead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hone status-flag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Piece of Intere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ollow-up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ast Follow-u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dataFields>
    <dataField name="Count of Lead_ID" fld="0" subtotal="count" baseField="0"/>
  </dataFields>
</pivotTableDefinition>
</file>

<file path=xl/pivotTables/pivotTable2.xml><?xml version="1.0" encoding="utf-8"?>
<pivotTableDefinition xmlns="http://schemas.openxmlformats.org/spreadsheetml/2006/main" name="Working Sheet 3 2" cacheId="0" dataCaption="" compact="0" compactData="0">
  <location ref="D2:E8" firstHeaderRow="0" firstDataRow="1" firstDataCol="0"/>
  <pivotFields>
    <pivotField name="Lead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hone status-flag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iece of Intere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ollow-up Status" axis="axisRow" compact="0" outline="0" multipleItemSelectionAllowed="1" showAll="0" sortType="ascending">
      <items>
        <item x="2"/>
        <item x="0"/>
        <item x="3"/>
        <item x="1"/>
        <item x="4"/>
        <item t="default"/>
      </items>
    </pivotField>
    <pivotField name="Last Follow-u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dataFields>
    <dataField name="Count of Lead_ID" fld="0" subtotal="count" baseField="0"/>
  </dataFields>
</pivotTableDefinition>
</file>

<file path=xl/pivotTables/pivotTable3.xml><?xml version="1.0" encoding="utf-8"?>
<pivotTableDefinition xmlns="http://schemas.openxmlformats.org/spreadsheetml/2006/main" name="Working Sheet 3 3" cacheId="0" dataCaption="" compact="0" compactData="0">
  <location ref="G2:M9" firstHeaderRow="0" firstDataRow="1" firstDataCol="1"/>
  <pivotFields>
    <pivotField name="Lead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hone status-flag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Piece of Intere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ollow-up Status" axis="axisCol" compact="0" outline="0" multipleItemSelectionAllowed="1" showAll="0" sortType="ascending">
      <items>
        <item x="2"/>
        <item x="0"/>
        <item x="3"/>
        <item x="1"/>
        <item x="4"/>
        <item t="default"/>
      </items>
    </pivotField>
    <pivotField name="Last Follow-u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6"/>
  </colFields>
  <dataFields>
    <dataField name="Count of Lead_ID" fld="0" subtotal="count" baseField="0"/>
  </dataFields>
</pivotTableDefinition>
</file>

<file path=xl/pivotTables/pivotTable4.xml><?xml version="1.0" encoding="utf-8"?>
<pivotTableDefinition xmlns="http://schemas.openxmlformats.org/spreadsheetml/2006/main" name="Working Sheet 3 4" cacheId="0" dataCaption="" compact="0" compactData="0">
  <location ref="A13:G20" firstHeaderRow="0" firstDataRow="1" firstDataCol="1"/>
  <pivotFields>
    <pivotField name="Lead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hone status-flag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Piece of Intere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ollow-up Status" axis="axisCol" compact="0" outline="0" multipleItemSelectionAllowed="1" showAll="0" sortType="ascending">
      <items>
        <item x="2"/>
        <item x="0"/>
        <item x="3"/>
        <item x="1"/>
        <item x="4"/>
        <item t="default"/>
      </items>
    </pivotField>
    <pivotField name="Last Follow-u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6"/>
  </colFields>
  <dataFields>
    <dataField name="Count of Lead_ID2" fld="0" subtotal="count" showDataAs="percentOfRow" baseField="0" numFmtId="10"/>
  </dataFields>
</pivotTableDefinition>
</file>

<file path=xl/tables/table1.xml><?xml version="1.0" encoding="utf-8"?>
<table xmlns="http://schemas.openxmlformats.org/spreadsheetml/2006/main" ref="A1:I36" displayName="Table_1" name="Table_1" id="1">
  <tableColumns count="9">
    <tableColumn name="Customer Name" id="1"/>
    <tableColumn name="Phone Number" id="2"/>
    <tableColumn name="City" id="3"/>
    <tableColumn name="Piece of Interest" id="4"/>
    <tableColumn name="Follow-up Status" id="5"/>
    <tableColumn name="Last Follow-up Date" id="6"/>
    <tableColumn name="Remarks" id="7"/>
    <tableColumn name="Valid Phone" id="8"/>
    <tableColumn name="Column1" id="9"/>
  </tableColumns>
  <tableStyleInfo name="Original Sheet-style" showColumnStripes="0" showFirstColumn="1" showLastColumn="1" showRowStripes="1"/>
</table>
</file>

<file path=xl/tables/table2.xml><?xml version="1.0" encoding="utf-8"?>
<table xmlns="http://schemas.openxmlformats.org/spreadsheetml/2006/main" ref="A1:A36" displayName="Table_2" name="Table_2" id="2">
  <tableColumns count="1">
    <tableColumn name="Lead_ID" id="1"/>
  </tableColumns>
  <tableStyleInfo name="Working sheet 1-style" showColumnStripes="0" showFirstColumn="1" showLastColumn="1" showRowStripes="1"/>
</table>
</file>

<file path=xl/tables/table3.xml><?xml version="1.0" encoding="utf-8"?>
<table xmlns="http://schemas.openxmlformats.org/spreadsheetml/2006/main" ref="B1:I37" displayName="Table_3" name="Table_3" id="3">
  <tableColumns count="8">
    <tableColumn name="Customer Name" id="1"/>
    <tableColumn name="Phone number" id="2"/>
    <tableColumn name="Phone status" id="3"/>
    <tableColumn name="City" id="4"/>
    <tableColumn name="Piece of Interest" id="5"/>
    <tableColumn name="Follow-up Status" id="6"/>
    <tableColumn name="Last Follow-up Date" id="7"/>
    <tableColumn name="Remarks" id="8"/>
  </tableColumns>
  <tableStyleInfo name="Working sheet 1-style 2" showColumnStripes="0" showFirstColumn="1" showLastColumn="1" showRowStripes="1"/>
</table>
</file>

<file path=xl/tables/table4.xml><?xml version="1.0" encoding="utf-8"?>
<table xmlns="http://schemas.openxmlformats.org/spreadsheetml/2006/main" ref="O2:Q37" displayName="Table_4" name="Table_4" id="4">
  <tableColumns count="3">
    <tableColumn name="Lead_ID" id="1"/>
    <tableColumn name="Follow-up Status" id="2"/>
    <tableColumn name="Days Since Last Follow-up" id="3"/>
  </tableColumns>
  <tableStyleInfo name="Working sheet 2-style" showColumnStripes="0" showFirstColumn="1" showLastColumn="1" showRowStripes="1"/>
</table>
</file>

<file path=xl/tables/table5.xml><?xml version="1.0" encoding="utf-8"?>
<table xmlns="http://schemas.openxmlformats.org/spreadsheetml/2006/main" ref="L4:N39" displayName="Table_5" name="Table_5" id="5">
  <tableColumns count="3">
    <tableColumn name="Lead_ID" id="1"/>
    <tableColumn name="Follow-up Status" id="2"/>
    <tableColumn name="Days Since Last Follow-up" id="3"/>
  </tableColumns>
  <tableStyleInfo name="Analysis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2.5" customHeight="1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4"/>
      <c r="S2" s="4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4"/>
      <c r="R3" s="4"/>
      <c r="S3" s="4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/>
      <c r="R4" s="4"/>
      <c r="S4" s="4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4"/>
      <c r="R5" s="4"/>
      <c r="S5" s="4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2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4"/>
      <c r="R6" s="4"/>
      <c r="S6" s="4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4"/>
      <c r="R7" s="4"/>
      <c r="S7" s="4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4"/>
      <c r="R8" s="4"/>
      <c r="S8" s="4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4"/>
      <c r="S9" s="4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4"/>
      <c r="S10" s="4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/>
      <c r="R11" s="4"/>
      <c r="S11" s="4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4"/>
      <c r="S12" s="4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4"/>
      <c r="R13" s="4"/>
      <c r="S13" s="4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4"/>
      <c r="R14" s="4"/>
      <c r="S14" s="4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4"/>
      <c r="R15" s="4"/>
      <c r="S15" s="4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4"/>
      <c r="R16" s="4"/>
      <c r="S16" s="4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4"/>
      <c r="R17" s="4"/>
      <c r="S17" s="4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4"/>
      <c r="R18" s="4"/>
      <c r="S18" s="4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4"/>
      <c r="R19" s="4"/>
      <c r="S19" s="4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4"/>
      <c r="R20" s="4"/>
      <c r="S20" s="4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4"/>
      <c r="R21" s="4"/>
      <c r="S21" s="4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9.43"/>
    <col customWidth="1" min="3" max="3" width="12.57"/>
    <col customWidth="1" min="4" max="4" width="24.14"/>
    <col customWidth="1" min="5" max="5" width="24.43"/>
    <col customWidth="1" min="6" max="6" width="27.14"/>
    <col customWidth="1" min="7" max="7" width="24.86"/>
    <col customWidth="1" min="8" max="8" width="25.29"/>
    <col customWidth="1" min="9" max="26" width="8.71"/>
  </cols>
  <sheetData>
    <row r="1">
      <c r="A1" s="6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8" t="s">
        <v>8</v>
      </c>
      <c r="I1" s="9" t="s">
        <v>9</v>
      </c>
    </row>
    <row r="2">
      <c r="A2" s="10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2" t="str">
        <f t="shared" ref="H2:H36" si="1">IF(LEN(TRIM(A2))=10,"Valid","Invalid")</f>
        <v>Valid</v>
      </c>
      <c r="I2" s="13"/>
    </row>
    <row r="3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1" t="s">
        <v>16</v>
      </c>
      <c r="H3" s="12" t="str">
        <f t="shared" si="1"/>
        <v>Invalid</v>
      </c>
      <c r="I3" s="14"/>
    </row>
    <row r="4">
      <c r="A4" s="10" t="s">
        <v>23</v>
      </c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16</v>
      </c>
      <c r="H4" s="12" t="str">
        <f t="shared" si="1"/>
        <v>Invalid</v>
      </c>
      <c r="I4" s="14"/>
    </row>
    <row r="5">
      <c r="A5" s="10" t="s">
        <v>29</v>
      </c>
      <c r="B5" s="11" t="s">
        <v>30</v>
      </c>
      <c r="C5" s="11" t="s">
        <v>31</v>
      </c>
      <c r="D5" s="11" t="s">
        <v>20</v>
      </c>
      <c r="E5" s="11" t="s">
        <v>14</v>
      </c>
      <c r="F5" s="11" t="s">
        <v>15</v>
      </c>
      <c r="G5" s="11" t="s">
        <v>32</v>
      </c>
      <c r="H5" s="12" t="str">
        <f t="shared" si="1"/>
        <v>Invalid</v>
      </c>
      <c r="I5" s="14"/>
    </row>
    <row r="6">
      <c r="A6" s="10" t="s">
        <v>10</v>
      </c>
      <c r="B6" s="11" t="s">
        <v>33</v>
      </c>
      <c r="C6" s="11" t="s">
        <v>34</v>
      </c>
      <c r="D6" s="11" t="s">
        <v>26</v>
      </c>
      <c r="E6" s="11" t="s">
        <v>35</v>
      </c>
      <c r="F6" s="11" t="s">
        <v>15</v>
      </c>
      <c r="G6" s="11" t="s">
        <v>16</v>
      </c>
      <c r="H6" s="12" t="str">
        <f t="shared" si="1"/>
        <v>Valid</v>
      </c>
      <c r="I6" s="14"/>
    </row>
    <row r="7">
      <c r="A7" s="10" t="s">
        <v>36</v>
      </c>
      <c r="B7" s="11" t="s">
        <v>37</v>
      </c>
      <c r="C7" s="11" t="s">
        <v>38</v>
      </c>
      <c r="D7" s="11" t="s">
        <v>26</v>
      </c>
      <c r="E7" s="11" t="s">
        <v>21</v>
      </c>
      <c r="F7" s="11" t="s">
        <v>39</v>
      </c>
      <c r="G7" s="11" t="s">
        <v>40</v>
      </c>
      <c r="H7" s="12" t="str">
        <f t="shared" si="1"/>
        <v>Valid</v>
      </c>
      <c r="I7" s="14"/>
    </row>
    <row r="8">
      <c r="A8" s="10" t="s">
        <v>41</v>
      </c>
      <c r="B8" s="11" t="s">
        <v>42</v>
      </c>
      <c r="C8" s="11" t="s">
        <v>43</v>
      </c>
      <c r="D8" s="11" t="s">
        <v>44</v>
      </c>
      <c r="E8" s="11" t="s">
        <v>45</v>
      </c>
      <c r="F8" s="11" t="s">
        <v>28</v>
      </c>
      <c r="G8" s="11" t="s">
        <v>46</v>
      </c>
      <c r="H8" s="12" t="str">
        <f t="shared" si="1"/>
        <v>Valid</v>
      </c>
      <c r="I8" s="14"/>
    </row>
    <row r="9">
      <c r="A9" s="10" t="s">
        <v>47</v>
      </c>
      <c r="B9" s="11" t="s">
        <v>48</v>
      </c>
      <c r="C9" s="11" t="s">
        <v>12</v>
      </c>
      <c r="D9" s="11" t="s">
        <v>13</v>
      </c>
      <c r="E9" s="11" t="s">
        <v>35</v>
      </c>
      <c r="F9" s="11" t="s">
        <v>49</v>
      </c>
      <c r="G9" s="11" t="s">
        <v>46</v>
      </c>
      <c r="H9" s="12" t="str">
        <f t="shared" si="1"/>
        <v>Valid</v>
      </c>
      <c r="I9" s="14"/>
    </row>
    <row r="10">
      <c r="A10" s="10" t="s">
        <v>50</v>
      </c>
      <c r="B10" s="11" t="s">
        <v>51</v>
      </c>
      <c r="C10" s="11" t="s">
        <v>25</v>
      </c>
      <c r="D10" s="11" t="s">
        <v>13</v>
      </c>
      <c r="E10" s="11" t="s">
        <v>45</v>
      </c>
      <c r="F10" s="11" t="s">
        <v>28</v>
      </c>
      <c r="G10" s="11" t="s">
        <v>52</v>
      </c>
      <c r="H10" s="12" t="str">
        <f t="shared" si="1"/>
        <v>Invalid</v>
      </c>
      <c r="I10" s="14"/>
    </row>
    <row r="11">
      <c r="A11" s="10" t="s">
        <v>47</v>
      </c>
      <c r="B11" s="11" t="s">
        <v>53</v>
      </c>
      <c r="C11" s="11" t="s">
        <v>54</v>
      </c>
      <c r="D11" s="11" t="s">
        <v>13</v>
      </c>
      <c r="E11" s="11" t="s">
        <v>27</v>
      </c>
      <c r="F11" s="11" t="s">
        <v>55</v>
      </c>
      <c r="G11" s="11" t="s">
        <v>52</v>
      </c>
      <c r="H11" s="12" t="str">
        <f t="shared" si="1"/>
        <v>Valid</v>
      </c>
      <c r="I11" s="14"/>
    </row>
    <row r="12">
      <c r="A12" s="10" t="s">
        <v>29</v>
      </c>
      <c r="B12" s="11" t="s">
        <v>56</v>
      </c>
      <c r="C12" s="11" t="s">
        <v>31</v>
      </c>
      <c r="D12" s="11" t="s">
        <v>44</v>
      </c>
      <c r="E12" s="11" t="s">
        <v>14</v>
      </c>
      <c r="F12" s="11" t="s">
        <v>55</v>
      </c>
      <c r="G12" s="11" t="s">
        <v>46</v>
      </c>
      <c r="H12" s="12" t="str">
        <f t="shared" si="1"/>
        <v>Invalid</v>
      </c>
      <c r="I12" s="14"/>
    </row>
    <row r="13">
      <c r="A13" s="10" t="s">
        <v>29</v>
      </c>
      <c r="B13" s="11" t="s">
        <v>57</v>
      </c>
      <c r="C13" s="11" t="s">
        <v>34</v>
      </c>
      <c r="D13" s="11" t="s">
        <v>58</v>
      </c>
      <c r="E13" s="11" t="s">
        <v>45</v>
      </c>
      <c r="F13" s="11" t="s">
        <v>59</v>
      </c>
      <c r="G13" s="11" t="s">
        <v>32</v>
      </c>
      <c r="H13" s="12" t="str">
        <f t="shared" si="1"/>
        <v>Invalid</v>
      </c>
      <c r="I13" s="14"/>
    </row>
    <row r="14">
      <c r="A14" s="10" t="s">
        <v>10</v>
      </c>
      <c r="B14" s="11" t="s">
        <v>60</v>
      </c>
      <c r="C14" s="11" t="s">
        <v>61</v>
      </c>
      <c r="D14" s="11" t="s">
        <v>58</v>
      </c>
      <c r="E14" s="11" t="s">
        <v>35</v>
      </c>
      <c r="F14" s="11" t="s">
        <v>28</v>
      </c>
      <c r="G14" s="11" t="s">
        <v>52</v>
      </c>
      <c r="H14" s="12" t="str">
        <f t="shared" si="1"/>
        <v>Valid</v>
      </c>
      <c r="I14" s="14"/>
    </row>
    <row r="15">
      <c r="A15" s="10" t="s">
        <v>62</v>
      </c>
      <c r="B15" s="11" t="s">
        <v>63</v>
      </c>
      <c r="C15" s="11" t="s">
        <v>54</v>
      </c>
      <c r="D15" s="11" t="s">
        <v>58</v>
      </c>
      <c r="E15" s="11" t="s">
        <v>14</v>
      </c>
      <c r="F15" s="11" t="s">
        <v>28</v>
      </c>
      <c r="G15" s="11" t="s">
        <v>52</v>
      </c>
      <c r="H15" s="12" t="str">
        <f t="shared" si="1"/>
        <v>Valid</v>
      </c>
      <c r="I15" s="14" t="s">
        <v>64</v>
      </c>
    </row>
    <row r="16">
      <c r="A16" s="10" t="s">
        <v>47</v>
      </c>
      <c r="B16" s="11" t="s">
        <v>65</v>
      </c>
      <c r="C16" s="11" t="s">
        <v>43</v>
      </c>
      <c r="D16" s="11" t="s">
        <v>13</v>
      </c>
      <c r="E16" s="11" t="s">
        <v>35</v>
      </c>
      <c r="F16" s="11" t="s">
        <v>49</v>
      </c>
      <c r="G16" s="11" t="s">
        <v>66</v>
      </c>
      <c r="H16" s="12" t="str">
        <f t="shared" si="1"/>
        <v>Valid</v>
      </c>
      <c r="I16" s="14"/>
    </row>
    <row r="17">
      <c r="A17" s="10" t="s">
        <v>67</v>
      </c>
      <c r="B17" s="11" t="s">
        <v>68</v>
      </c>
      <c r="C17" s="11" t="s">
        <v>12</v>
      </c>
      <c r="D17" s="11" t="s">
        <v>20</v>
      </c>
      <c r="E17" s="11" t="s">
        <v>21</v>
      </c>
      <c r="F17" s="11" t="s">
        <v>28</v>
      </c>
      <c r="G17" s="11" t="s">
        <v>32</v>
      </c>
      <c r="H17" s="12" t="str">
        <f t="shared" si="1"/>
        <v>Valid</v>
      </c>
      <c r="I17" s="14"/>
    </row>
    <row r="18">
      <c r="A18" s="10" t="s">
        <v>67</v>
      </c>
      <c r="B18" s="11" t="s">
        <v>69</v>
      </c>
      <c r="C18" s="11" t="s">
        <v>31</v>
      </c>
      <c r="D18" s="11" t="s">
        <v>44</v>
      </c>
      <c r="E18" s="11" t="s">
        <v>14</v>
      </c>
      <c r="F18" s="11" t="s">
        <v>55</v>
      </c>
      <c r="G18" s="11" t="s">
        <v>16</v>
      </c>
      <c r="H18" s="12" t="str">
        <f t="shared" si="1"/>
        <v>Valid</v>
      </c>
      <c r="I18" s="14"/>
    </row>
    <row r="19">
      <c r="A19" s="10" t="s">
        <v>29</v>
      </c>
      <c r="B19" s="11" t="s">
        <v>70</v>
      </c>
      <c r="C19" s="11" t="s">
        <v>31</v>
      </c>
      <c r="D19" s="11" t="s">
        <v>13</v>
      </c>
      <c r="E19" s="11" t="s">
        <v>45</v>
      </c>
      <c r="F19" s="11" t="s">
        <v>71</v>
      </c>
      <c r="G19" s="11" t="s">
        <v>32</v>
      </c>
      <c r="H19" s="12" t="str">
        <f t="shared" si="1"/>
        <v>Invalid</v>
      </c>
      <c r="I19" s="14"/>
    </row>
    <row r="20">
      <c r="A20" s="10" t="s">
        <v>72</v>
      </c>
      <c r="B20" s="11" t="s">
        <v>73</v>
      </c>
      <c r="C20" s="11" t="s">
        <v>38</v>
      </c>
      <c r="D20" s="11" t="s">
        <v>58</v>
      </c>
      <c r="E20" s="11" t="s">
        <v>21</v>
      </c>
      <c r="F20" s="11" t="s">
        <v>39</v>
      </c>
      <c r="G20" s="11" t="s">
        <v>32</v>
      </c>
      <c r="H20" s="12" t="str">
        <f t="shared" si="1"/>
        <v>Valid</v>
      </c>
      <c r="I20" s="14"/>
    </row>
    <row r="21" ht="15.75" customHeight="1">
      <c r="A21" s="10" t="s">
        <v>74</v>
      </c>
      <c r="B21" s="11" t="s">
        <v>75</v>
      </c>
      <c r="C21" s="11" t="s">
        <v>76</v>
      </c>
      <c r="D21" s="11" t="s">
        <v>13</v>
      </c>
      <c r="E21" s="11" t="s">
        <v>14</v>
      </c>
      <c r="F21" s="11"/>
      <c r="G21" s="11" t="s">
        <v>32</v>
      </c>
      <c r="H21" s="12" t="str">
        <f t="shared" si="1"/>
        <v>Invalid</v>
      </c>
      <c r="I21" s="14"/>
    </row>
    <row r="22" ht="15.75" customHeight="1">
      <c r="A22" s="10" t="s">
        <v>77</v>
      </c>
      <c r="B22" s="11" t="s">
        <v>78</v>
      </c>
      <c r="C22" s="11" t="s">
        <v>43</v>
      </c>
      <c r="D22" s="11" t="s">
        <v>26</v>
      </c>
      <c r="E22" s="11" t="s">
        <v>35</v>
      </c>
      <c r="F22" s="11" t="s">
        <v>79</v>
      </c>
      <c r="G22" s="11" t="s">
        <v>52</v>
      </c>
      <c r="H22" s="12" t="str">
        <f t="shared" si="1"/>
        <v>Invalid</v>
      </c>
      <c r="I22" s="14"/>
    </row>
    <row r="23" ht="15.75" customHeight="1">
      <c r="A23" s="10" t="s">
        <v>17</v>
      </c>
      <c r="B23" s="11" t="s">
        <v>80</v>
      </c>
      <c r="C23" s="11" t="s">
        <v>61</v>
      </c>
      <c r="D23" s="11" t="s">
        <v>20</v>
      </c>
      <c r="E23" s="11" t="s">
        <v>45</v>
      </c>
      <c r="F23" s="11" t="s">
        <v>79</v>
      </c>
      <c r="G23" s="11" t="s">
        <v>32</v>
      </c>
      <c r="H23" s="12" t="str">
        <f t="shared" si="1"/>
        <v>Invalid</v>
      </c>
      <c r="I23" s="14"/>
    </row>
    <row r="24" ht="15.75" customHeight="1">
      <c r="A24" s="10" t="s">
        <v>72</v>
      </c>
      <c r="B24" s="11" t="s">
        <v>81</v>
      </c>
      <c r="C24" s="11" t="s">
        <v>34</v>
      </c>
      <c r="D24" s="11" t="s">
        <v>26</v>
      </c>
      <c r="E24" s="11" t="s">
        <v>35</v>
      </c>
      <c r="F24" s="11" t="s">
        <v>15</v>
      </c>
      <c r="G24" s="11" t="s">
        <v>52</v>
      </c>
      <c r="H24" s="12" t="str">
        <f t="shared" si="1"/>
        <v>Valid</v>
      </c>
      <c r="I24" s="14"/>
    </row>
    <row r="25" ht="15.75" customHeight="1">
      <c r="A25" s="10" t="s">
        <v>41</v>
      </c>
      <c r="B25" s="11" t="s">
        <v>82</v>
      </c>
      <c r="C25" s="11" t="s">
        <v>12</v>
      </c>
      <c r="D25" s="11" t="s">
        <v>26</v>
      </c>
      <c r="E25" s="11" t="s">
        <v>35</v>
      </c>
      <c r="F25" s="11" t="s">
        <v>71</v>
      </c>
      <c r="G25" s="11" t="s">
        <v>66</v>
      </c>
      <c r="H25" s="12" t="str">
        <f t="shared" si="1"/>
        <v>Valid</v>
      </c>
      <c r="I25" s="14"/>
    </row>
    <row r="26" ht="15.75" customHeight="1">
      <c r="A26" s="10" t="s">
        <v>72</v>
      </c>
      <c r="B26" s="11" t="s">
        <v>83</v>
      </c>
      <c r="C26" s="11" t="s">
        <v>43</v>
      </c>
      <c r="D26" s="11" t="s">
        <v>44</v>
      </c>
      <c r="E26" s="11" t="s">
        <v>14</v>
      </c>
      <c r="F26" s="11" t="s">
        <v>49</v>
      </c>
      <c r="G26" s="11" t="s">
        <v>46</v>
      </c>
      <c r="H26" s="12" t="str">
        <f t="shared" si="1"/>
        <v>Valid</v>
      </c>
      <c r="I26" s="14"/>
    </row>
    <row r="27" ht="15.75" customHeight="1">
      <c r="A27" s="10" t="s">
        <v>84</v>
      </c>
      <c r="B27" s="11" t="s">
        <v>85</v>
      </c>
      <c r="C27" s="11" t="s">
        <v>19</v>
      </c>
      <c r="D27" s="11" t="s">
        <v>26</v>
      </c>
      <c r="E27" s="11" t="s">
        <v>45</v>
      </c>
      <c r="F27" s="11" t="s">
        <v>39</v>
      </c>
      <c r="G27" s="11" t="s">
        <v>16</v>
      </c>
      <c r="H27" s="12" t="str">
        <f t="shared" si="1"/>
        <v>Invalid</v>
      </c>
      <c r="I27" s="14"/>
    </row>
    <row r="28" ht="15.75" customHeight="1">
      <c r="A28" s="10" t="s">
        <v>36</v>
      </c>
      <c r="B28" s="11" t="s">
        <v>86</v>
      </c>
      <c r="C28" s="11" t="s">
        <v>19</v>
      </c>
      <c r="D28" s="11" t="s">
        <v>58</v>
      </c>
      <c r="E28" s="11" t="s">
        <v>35</v>
      </c>
      <c r="F28" s="11" t="s">
        <v>22</v>
      </c>
      <c r="G28" s="11" t="s">
        <v>52</v>
      </c>
      <c r="H28" s="12" t="str">
        <f t="shared" si="1"/>
        <v>Valid</v>
      </c>
      <c r="I28" s="14"/>
    </row>
    <row r="29" ht="15.75" customHeight="1">
      <c r="A29" s="10" t="s">
        <v>50</v>
      </c>
      <c r="B29" s="11" t="s">
        <v>87</v>
      </c>
      <c r="C29" s="11" t="s">
        <v>61</v>
      </c>
      <c r="D29" s="11" t="s">
        <v>13</v>
      </c>
      <c r="E29" s="11" t="s">
        <v>14</v>
      </c>
      <c r="F29" s="11" t="s">
        <v>71</v>
      </c>
      <c r="G29" s="11" t="s">
        <v>46</v>
      </c>
      <c r="H29" s="12" t="str">
        <f t="shared" si="1"/>
        <v>Invalid</v>
      </c>
      <c r="I29" s="14"/>
    </row>
    <row r="30" ht="15.75" customHeight="1">
      <c r="A30" s="10" t="s">
        <v>50</v>
      </c>
      <c r="B30" s="11" t="s">
        <v>88</v>
      </c>
      <c r="C30" s="11" t="s">
        <v>31</v>
      </c>
      <c r="D30" s="11" t="s">
        <v>20</v>
      </c>
      <c r="E30" s="11" t="s">
        <v>14</v>
      </c>
      <c r="F30" s="11" t="s">
        <v>49</v>
      </c>
      <c r="G30" s="11" t="s">
        <v>66</v>
      </c>
      <c r="H30" s="12" t="str">
        <f t="shared" si="1"/>
        <v>Invalid</v>
      </c>
      <c r="I30" s="14"/>
    </row>
    <row r="31" ht="15.75" customHeight="1">
      <c r="A31" s="10" t="s">
        <v>67</v>
      </c>
      <c r="B31" s="11" t="s">
        <v>89</v>
      </c>
      <c r="C31" s="11" t="s">
        <v>38</v>
      </c>
      <c r="D31" s="11" t="s">
        <v>26</v>
      </c>
      <c r="E31" s="11" t="s">
        <v>45</v>
      </c>
      <c r="F31" s="11" t="s">
        <v>15</v>
      </c>
      <c r="G31" s="11" t="s">
        <v>52</v>
      </c>
      <c r="H31" s="12" t="str">
        <f t="shared" si="1"/>
        <v>Valid</v>
      </c>
      <c r="I31" s="14"/>
    </row>
    <row r="32" ht="15.75" customHeight="1">
      <c r="A32" s="10" t="s">
        <v>90</v>
      </c>
      <c r="B32" s="11" t="s">
        <v>91</v>
      </c>
      <c r="C32" s="11" t="s">
        <v>31</v>
      </c>
      <c r="D32" s="11" t="s">
        <v>58</v>
      </c>
      <c r="E32" s="11" t="s">
        <v>21</v>
      </c>
      <c r="F32" s="11" t="s">
        <v>28</v>
      </c>
      <c r="G32" s="11" t="s">
        <v>66</v>
      </c>
      <c r="H32" s="12" t="str">
        <f t="shared" si="1"/>
        <v>Invalid</v>
      </c>
      <c r="I32" s="14"/>
    </row>
    <row r="33" ht="15.75" customHeight="1">
      <c r="A33" s="10" t="s">
        <v>41</v>
      </c>
      <c r="B33" s="11" t="s">
        <v>92</v>
      </c>
      <c r="C33" s="11" t="s">
        <v>43</v>
      </c>
      <c r="D33" s="11" t="s">
        <v>26</v>
      </c>
      <c r="E33" s="11" t="s">
        <v>45</v>
      </c>
      <c r="F33" s="11"/>
      <c r="G33" s="11" t="s">
        <v>40</v>
      </c>
      <c r="H33" s="12" t="str">
        <f t="shared" si="1"/>
        <v>Valid</v>
      </c>
      <c r="I33" s="14"/>
    </row>
    <row r="34" ht="15.75" customHeight="1">
      <c r="A34" s="10" t="s">
        <v>67</v>
      </c>
      <c r="B34" s="11" t="s">
        <v>93</v>
      </c>
      <c r="C34" s="11" t="s">
        <v>43</v>
      </c>
      <c r="D34" s="11" t="s">
        <v>44</v>
      </c>
      <c r="E34" s="11" t="s">
        <v>35</v>
      </c>
      <c r="F34" s="11" t="s">
        <v>55</v>
      </c>
      <c r="G34" s="11" t="s">
        <v>40</v>
      </c>
      <c r="H34" s="12" t="str">
        <f t="shared" si="1"/>
        <v>Valid</v>
      </c>
      <c r="I34" s="14"/>
    </row>
    <row r="35" ht="15.75" customHeight="1">
      <c r="A35" s="10" t="s">
        <v>94</v>
      </c>
      <c r="B35" s="11" t="s">
        <v>95</v>
      </c>
      <c r="C35" s="11" t="s">
        <v>43</v>
      </c>
      <c r="D35" s="11" t="s">
        <v>26</v>
      </c>
      <c r="E35" s="11" t="s">
        <v>14</v>
      </c>
      <c r="F35" s="11" t="s">
        <v>15</v>
      </c>
      <c r="G35" s="11" t="s">
        <v>46</v>
      </c>
      <c r="H35" s="12" t="str">
        <f t="shared" si="1"/>
        <v>Valid</v>
      </c>
      <c r="I35" s="14"/>
    </row>
    <row r="36" ht="15.75" customHeight="1">
      <c r="A36" s="15" t="s">
        <v>96</v>
      </c>
      <c r="B36" s="16" t="s">
        <v>97</v>
      </c>
      <c r="C36" s="16" t="s">
        <v>43</v>
      </c>
      <c r="D36" s="16" t="s">
        <v>44</v>
      </c>
      <c r="E36" s="16" t="s">
        <v>21</v>
      </c>
      <c r="F36" s="16"/>
      <c r="G36" s="16" t="s">
        <v>52</v>
      </c>
      <c r="H36" s="17" t="str">
        <f t="shared" si="1"/>
        <v>Invalid</v>
      </c>
      <c r="I36" s="1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36">
      <formula1>"Closed,Not Responded,Appointment Fixed,Contacted,Pending"</formula1>
    </dataValidation>
    <dataValidation type="list" allowBlank="1" showDropDown="1" showErrorMessage="1" sqref="F2:F36">
      <formula1>"23-08-2025,19-08-2025,18-08-2025,25-08-2025,22-08-2025,16-08-2025,17-08-2025,21-08-2025,15-08-2025"</formula1>
    </dataValidation>
    <dataValidation type="list" allowBlank="1" showDropDown="1" showErrorMessage="1" sqref="D2:D36">
      <formula1>"Diamond Ring,Bridal Set,Jadau Earrings,Polki Necklace,Gold Bangles"</formula1>
    </dataValidation>
    <dataValidation type="list" allowBlank="1" showDropDown="1" showErrorMessage="1" sqref="G2:G36">
      <formula1>"low budget,Wants Callback,interested,High Budget,Comparing Options,Interested"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9.14"/>
    <col customWidth="1" min="3" max="3" width="15.86"/>
    <col customWidth="1" min="4" max="4" width="14.14"/>
    <col customWidth="1" min="5" max="5" width="9.71"/>
    <col customWidth="1" min="6" max="6" width="19.14"/>
    <col customWidth="1" min="7" max="7" width="19.57"/>
    <col customWidth="1" min="8" max="8" width="22.14"/>
    <col customWidth="1" min="9" max="9" width="16.71"/>
  </cols>
  <sheetData>
    <row r="1" ht="14.25" customHeight="1">
      <c r="A1" s="19" t="s">
        <v>98</v>
      </c>
      <c r="B1" s="6" t="s">
        <v>1</v>
      </c>
      <c r="C1" s="20" t="s">
        <v>99</v>
      </c>
      <c r="D1" s="20" t="s">
        <v>100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ht="14.25" customHeight="1">
      <c r="A2" s="21" t="str">
        <f>_xlfn.CONCAT(Table13[[#This Row],[Customer Name]]," - ",Table13[[#This Row],[Phone number]])</f>
        <v>#ERROR!</v>
      </c>
      <c r="B2" s="10" t="s">
        <v>10</v>
      </c>
      <c r="C2" s="22">
        <v>9.81207197E8</v>
      </c>
      <c r="D2" s="22" t="str">
        <f t="shared" ref="D2:D37" si="1">IF(LEN(C2)&lt;&gt;10,"invalid","valid")</f>
        <v>invalid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101</v>
      </c>
    </row>
    <row r="3" ht="14.25" customHeight="1">
      <c r="A3" s="21" t="str">
        <f>_xlfn.CONCAT(Table13[[#This Row],[Customer Name]]," - ",Table13[[#This Row],[Phone number]])</f>
        <v>#ERROR!</v>
      </c>
      <c r="B3" s="10" t="s">
        <v>17</v>
      </c>
      <c r="C3" s="22">
        <v>3.16699969071E11</v>
      </c>
      <c r="D3" s="22" t="str">
        <f t="shared" si="1"/>
        <v>invalid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101</v>
      </c>
    </row>
    <row r="4" ht="14.25" customHeight="1">
      <c r="A4" s="21" t="str">
        <f>_xlfn.CONCAT(Table13[[#This Row],[Customer Name]]," - ",Table13[[#This Row],[Phone number]])</f>
        <v>#ERROR!</v>
      </c>
      <c r="B4" s="10" t="s">
        <v>23</v>
      </c>
      <c r="C4" s="22" t="s">
        <v>24</v>
      </c>
      <c r="D4" s="22" t="str">
        <f t="shared" si="1"/>
        <v>invalid</v>
      </c>
      <c r="E4" s="11" t="s">
        <v>38</v>
      </c>
      <c r="F4" s="11" t="s">
        <v>26</v>
      </c>
      <c r="G4" s="11" t="s">
        <v>27</v>
      </c>
      <c r="H4" s="11" t="s">
        <v>28</v>
      </c>
      <c r="I4" s="11" t="s">
        <v>101</v>
      </c>
    </row>
    <row r="5" ht="14.25" customHeight="1">
      <c r="A5" s="21" t="str">
        <f>_xlfn.CONCAT(Table13[[#This Row],[Customer Name]]," - ",Table13[[#This Row],[Phone number]])</f>
        <v>#ERROR!</v>
      </c>
      <c r="B5" s="10" t="s">
        <v>29</v>
      </c>
      <c r="C5" s="22" t="s">
        <v>102</v>
      </c>
      <c r="D5" s="22" t="str">
        <f t="shared" si="1"/>
        <v>invalid</v>
      </c>
      <c r="E5" s="11" t="s">
        <v>12</v>
      </c>
      <c r="F5" s="11" t="s">
        <v>20</v>
      </c>
      <c r="G5" s="11" t="s">
        <v>14</v>
      </c>
      <c r="H5" s="11" t="s">
        <v>15</v>
      </c>
      <c r="I5" s="11" t="s">
        <v>32</v>
      </c>
    </row>
    <row r="6" ht="14.25" customHeight="1">
      <c r="A6" s="21" t="str">
        <f>_xlfn.CONCAT(Table13[[#This Row],[Customer Name]]," - ",Table13[[#This Row],[Phone number]])</f>
        <v>#ERROR!</v>
      </c>
      <c r="B6" s="10" t="s">
        <v>10</v>
      </c>
      <c r="C6" s="22" t="s">
        <v>33</v>
      </c>
      <c r="D6" s="22" t="str">
        <f t="shared" si="1"/>
        <v>invalid</v>
      </c>
      <c r="E6" s="11" t="s">
        <v>43</v>
      </c>
      <c r="F6" s="11" t="s">
        <v>26</v>
      </c>
      <c r="G6" s="11" t="s">
        <v>35</v>
      </c>
      <c r="H6" s="11" t="s">
        <v>15</v>
      </c>
      <c r="I6" s="11" t="s">
        <v>101</v>
      </c>
    </row>
    <row r="7" ht="14.25" customHeight="1">
      <c r="A7" s="21" t="str">
        <f>_xlfn.CONCAT(Table13[[#This Row],[Customer Name]]," - ",Table13[[#This Row],[Phone number]])</f>
        <v>#ERROR!</v>
      </c>
      <c r="B7" s="10" t="s">
        <v>36</v>
      </c>
      <c r="C7" s="22" t="s">
        <v>37</v>
      </c>
      <c r="D7" s="22" t="str">
        <f t="shared" si="1"/>
        <v>invalid</v>
      </c>
      <c r="E7" s="11" t="s">
        <v>38</v>
      </c>
      <c r="F7" s="11" t="s">
        <v>26</v>
      </c>
      <c r="G7" s="11" t="s">
        <v>21</v>
      </c>
      <c r="H7" s="11" t="s">
        <v>39</v>
      </c>
      <c r="I7" s="11" t="s">
        <v>66</v>
      </c>
    </row>
    <row r="8" ht="14.25" customHeight="1">
      <c r="A8" s="21" t="str">
        <f>_xlfn.CONCAT(Table13[[#This Row],[Customer Name]]," - ",Table13[[#This Row],[Phone number]])</f>
        <v>#ERROR!</v>
      </c>
      <c r="B8" s="10" t="s">
        <v>41</v>
      </c>
      <c r="C8" s="22" t="s">
        <v>103</v>
      </c>
      <c r="D8" s="22" t="str">
        <f t="shared" si="1"/>
        <v>valid</v>
      </c>
      <c r="E8" s="11" t="s">
        <v>43</v>
      </c>
      <c r="F8" s="11" t="s">
        <v>44</v>
      </c>
      <c r="G8" s="11" t="s">
        <v>45</v>
      </c>
      <c r="H8" s="11" t="s">
        <v>28</v>
      </c>
      <c r="I8" s="11" t="s">
        <v>46</v>
      </c>
    </row>
    <row r="9" ht="14.25" customHeight="1">
      <c r="A9" s="21" t="str">
        <f>_xlfn.CONCAT(Table13[[#This Row],[Customer Name]]," - ",Table13[[#This Row],[Phone number]])</f>
        <v>#ERROR!</v>
      </c>
      <c r="B9" s="10" t="s">
        <v>47</v>
      </c>
      <c r="C9" s="22" t="s">
        <v>48</v>
      </c>
      <c r="D9" s="22" t="str">
        <f t="shared" si="1"/>
        <v>invalid</v>
      </c>
      <c r="E9" s="11" t="s">
        <v>12</v>
      </c>
      <c r="F9" s="11" t="s">
        <v>13</v>
      </c>
      <c r="G9" s="11" t="s">
        <v>35</v>
      </c>
      <c r="H9" s="11" t="s">
        <v>49</v>
      </c>
      <c r="I9" s="11" t="s">
        <v>46</v>
      </c>
    </row>
    <row r="10" ht="14.25" customHeight="1">
      <c r="A10" s="21" t="str">
        <f>_xlfn.CONCAT(Table13[[#This Row],[Customer Name]]," - ",Table13[[#This Row],[Phone number]])</f>
        <v>#ERROR!</v>
      </c>
      <c r="B10" s="10" t="s">
        <v>50</v>
      </c>
      <c r="C10" s="22" t="s">
        <v>104</v>
      </c>
      <c r="D10" s="22" t="str">
        <f t="shared" si="1"/>
        <v>valid</v>
      </c>
      <c r="E10" s="11" t="s">
        <v>38</v>
      </c>
      <c r="F10" s="11" t="s">
        <v>13</v>
      </c>
      <c r="G10" s="11" t="s">
        <v>45</v>
      </c>
      <c r="H10" s="11" t="s">
        <v>28</v>
      </c>
      <c r="I10" s="11" t="s">
        <v>52</v>
      </c>
    </row>
    <row r="11" ht="14.25" customHeight="1">
      <c r="A11" s="21" t="str">
        <f>_xlfn.CONCAT(Table13[[#This Row],[Customer Name]]," - ",Table13[[#This Row],[Phone number]])</f>
        <v>#ERROR!</v>
      </c>
      <c r="B11" s="10" t="s">
        <v>47</v>
      </c>
      <c r="C11" s="22" t="s">
        <v>53</v>
      </c>
      <c r="D11" s="22" t="str">
        <f t="shared" si="1"/>
        <v>invalid</v>
      </c>
      <c r="E11" s="11" t="s">
        <v>54</v>
      </c>
      <c r="F11" s="11" t="s">
        <v>13</v>
      </c>
      <c r="G11" s="11" t="s">
        <v>27</v>
      </c>
      <c r="H11" s="11" t="s">
        <v>55</v>
      </c>
      <c r="I11" s="11" t="s">
        <v>52</v>
      </c>
    </row>
    <row r="12" ht="14.25" customHeight="1">
      <c r="A12" s="21" t="str">
        <f>_xlfn.CONCAT(Table13[[#This Row],[Customer Name]]," - ",Table13[[#This Row],[Phone number]])</f>
        <v>#ERROR!</v>
      </c>
      <c r="B12" s="10" t="s">
        <v>29</v>
      </c>
      <c r="C12" s="22" t="s">
        <v>56</v>
      </c>
      <c r="D12" s="22" t="str">
        <f t="shared" si="1"/>
        <v>invalid</v>
      </c>
      <c r="E12" s="11" t="s">
        <v>12</v>
      </c>
      <c r="F12" s="11" t="s">
        <v>44</v>
      </c>
      <c r="G12" s="11" t="s">
        <v>14</v>
      </c>
      <c r="H12" s="11" t="s">
        <v>55</v>
      </c>
      <c r="I12" s="11" t="s">
        <v>46</v>
      </c>
    </row>
    <row r="13" ht="14.25" customHeight="1">
      <c r="A13" s="21" t="str">
        <f>_xlfn.CONCAT(Table13[[#This Row],[Customer Name]]," - ",Table13[[#This Row],[Phone number]])</f>
        <v>#ERROR!</v>
      </c>
      <c r="B13" s="10" t="s">
        <v>29</v>
      </c>
      <c r="C13" s="22" t="s">
        <v>57</v>
      </c>
      <c r="D13" s="22" t="str">
        <f t="shared" si="1"/>
        <v>invalid</v>
      </c>
      <c r="E13" s="11" t="s">
        <v>43</v>
      </c>
      <c r="F13" s="11" t="s">
        <v>58</v>
      </c>
      <c r="G13" s="11" t="s">
        <v>45</v>
      </c>
      <c r="H13" s="11" t="s">
        <v>59</v>
      </c>
      <c r="I13" s="11" t="s">
        <v>32</v>
      </c>
    </row>
    <row r="14" ht="14.25" customHeight="1">
      <c r="A14" s="21" t="str">
        <f>_xlfn.CONCAT(Table13[[#This Row],[Customer Name]]," - ",Table13[[#This Row],[Phone number]])</f>
        <v>#ERROR!</v>
      </c>
      <c r="B14" s="10" t="s">
        <v>10</v>
      </c>
      <c r="C14" s="22" t="s">
        <v>105</v>
      </c>
      <c r="D14" s="22" t="str">
        <f t="shared" si="1"/>
        <v>valid</v>
      </c>
      <c r="E14" s="11" t="s">
        <v>19</v>
      </c>
      <c r="F14" s="11" t="s">
        <v>58</v>
      </c>
      <c r="G14" s="11" t="s">
        <v>35</v>
      </c>
      <c r="H14" s="11" t="s">
        <v>28</v>
      </c>
      <c r="I14" s="11" t="s">
        <v>52</v>
      </c>
    </row>
    <row r="15" ht="14.25" customHeight="1">
      <c r="A15" s="21" t="str">
        <f>_xlfn.CONCAT(Table13[[#This Row],[Customer Name]]," - ",Table13[[#This Row],[Phone number]])</f>
        <v>#ERROR!</v>
      </c>
      <c r="B15" s="10" t="s">
        <v>62</v>
      </c>
      <c r="C15" s="22" t="s">
        <v>63</v>
      </c>
      <c r="D15" s="22" t="str">
        <f t="shared" si="1"/>
        <v>invalid</v>
      </c>
      <c r="E15" s="11" t="s">
        <v>54</v>
      </c>
      <c r="F15" s="11" t="s">
        <v>58</v>
      </c>
      <c r="G15" s="11" t="s">
        <v>14</v>
      </c>
      <c r="H15" s="11" t="s">
        <v>28</v>
      </c>
      <c r="I15" s="11" t="s">
        <v>52</v>
      </c>
    </row>
    <row r="16" ht="14.25" customHeight="1">
      <c r="A16" s="21" t="str">
        <f>_xlfn.CONCAT(Table13[[#This Row],[Customer Name]]," - ",Table13[[#This Row],[Phone number]])</f>
        <v>#ERROR!</v>
      </c>
      <c r="B16" s="10" t="s">
        <v>47</v>
      </c>
      <c r="C16" s="22" t="s">
        <v>106</v>
      </c>
      <c r="D16" s="22" t="str">
        <f t="shared" si="1"/>
        <v>valid</v>
      </c>
      <c r="E16" s="11" t="s">
        <v>43</v>
      </c>
      <c r="F16" s="11" t="s">
        <v>13</v>
      </c>
      <c r="G16" s="11" t="s">
        <v>35</v>
      </c>
      <c r="H16" s="11" t="s">
        <v>49</v>
      </c>
      <c r="I16" s="11" t="s">
        <v>66</v>
      </c>
    </row>
    <row r="17" ht="14.25" customHeight="1">
      <c r="A17" s="21" t="str">
        <f>_xlfn.CONCAT(Table13[[#This Row],[Customer Name]]," - ",Table13[[#This Row],[Phone number]])</f>
        <v>#ERROR!</v>
      </c>
      <c r="B17" s="10" t="s">
        <v>67</v>
      </c>
      <c r="C17" s="22" t="s">
        <v>107</v>
      </c>
      <c r="D17" s="22" t="str">
        <f t="shared" si="1"/>
        <v>valid</v>
      </c>
      <c r="E17" s="11" t="s">
        <v>12</v>
      </c>
      <c r="F17" s="11" t="s">
        <v>20</v>
      </c>
      <c r="G17" s="11" t="s">
        <v>21</v>
      </c>
      <c r="H17" s="11" t="s">
        <v>28</v>
      </c>
      <c r="I17" s="11" t="s">
        <v>32</v>
      </c>
    </row>
    <row r="18" ht="14.25" customHeight="1">
      <c r="A18" s="21" t="str">
        <f>_xlfn.CONCAT(Table13[[#This Row],[Customer Name]]," - ",Table13[[#This Row],[Phone number]])</f>
        <v>#ERROR!</v>
      </c>
      <c r="B18" s="10" t="s">
        <v>67</v>
      </c>
      <c r="C18" s="22" t="s">
        <v>69</v>
      </c>
      <c r="D18" s="22" t="str">
        <f t="shared" si="1"/>
        <v>invalid</v>
      </c>
      <c r="E18" s="11" t="s">
        <v>12</v>
      </c>
      <c r="F18" s="11" t="s">
        <v>44</v>
      </c>
      <c r="G18" s="11" t="s">
        <v>14</v>
      </c>
      <c r="H18" s="11" t="s">
        <v>55</v>
      </c>
      <c r="I18" s="11" t="s">
        <v>101</v>
      </c>
    </row>
    <row r="19" ht="14.25" customHeight="1">
      <c r="A19" s="21" t="str">
        <f>_xlfn.CONCAT(Table13[[#This Row],[Customer Name]]," - ",Table13[[#This Row],[Phone number]])</f>
        <v>#ERROR!</v>
      </c>
      <c r="B19" s="10" t="s">
        <v>29</v>
      </c>
      <c r="C19" s="22" t="s">
        <v>108</v>
      </c>
      <c r="D19" s="22" t="str">
        <f t="shared" si="1"/>
        <v>valid</v>
      </c>
      <c r="E19" s="11" t="s">
        <v>12</v>
      </c>
      <c r="F19" s="11" t="s">
        <v>13</v>
      </c>
      <c r="G19" s="11" t="s">
        <v>45</v>
      </c>
      <c r="H19" s="11" t="s">
        <v>71</v>
      </c>
      <c r="I19" s="11" t="s">
        <v>32</v>
      </c>
    </row>
    <row r="20" ht="14.25" customHeight="1">
      <c r="A20" s="21" t="str">
        <f>_xlfn.CONCAT(Table13[[#This Row],[Customer Name]]," - ",Table13[[#This Row],[Phone number]])</f>
        <v>#ERROR!</v>
      </c>
      <c r="B20" s="10" t="s">
        <v>72</v>
      </c>
      <c r="C20" s="22" t="s">
        <v>73</v>
      </c>
      <c r="D20" s="22" t="str">
        <f t="shared" si="1"/>
        <v>invalid</v>
      </c>
      <c r="E20" s="11" t="s">
        <v>38</v>
      </c>
      <c r="F20" s="11" t="s">
        <v>58</v>
      </c>
      <c r="G20" s="11" t="s">
        <v>21</v>
      </c>
      <c r="H20" s="11" t="s">
        <v>39</v>
      </c>
      <c r="I20" s="11" t="s">
        <v>32</v>
      </c>
    </row>
    <row r="21" ht="15.75" customHeight="1">
      <c r="A21" s="21" t="str">
        <f>_xlfn.CONCAT(Table13[[#This Row],[Customer Name]]," - ",Table13[[#This Row],[Phone number]])</f>
        <v>#ERROR!</v>
      </c>
      <c r="B21" s="10" t="s">
        <v>74</v>
      </c>
      <c r="C21" s="22" t="s">
        <v>75</v>
      </c>
      <c r="D21" s="22" t="str">
        <f t="shared" si="1"/>
        <v>invalid</v>
      </c>
      <c r="E21" s="11" t="s">
        <v>54</v>
      </c>
      <c r="F21" s="11" t="s">
        <v>13</v>
      </c>
      <c r="G21" s="11" t="s">
        <v>14</v>
      </c>
      <c r="H21" s="11" t="s">
        <v>109</v>
      </c>
      <c r="I21" s="11" t="s">
        <v>32</v>
      </c>
    </row>
    <row r="22" ht="15.75" customHeight="1">
      <c r="A22" s="21" t="str">
        <f>_xlfn.CONCAT(Table13[[#This Row],[Customer Name]]," - ",Table13[[#This Row],[Phone number]])</f>
        <v>#ERROR!</v>
      </c>
      <c r="B22" s="10" t="s">
        <v>77</v>
      </c>
      <c r="C22" s="22" t="s">
        <v>78</v>
      </c>
      <c r="D22" s="22" t="str">
        <f t="shared" si="1"/>
        <v>invalid</v>
      </c>
      <c r="E22" s="11" t="s">
        <v>43</v>
      </c>
      <c r="F22" s="11" t="s">
        <v>26</v>
      </c>
      <c r="G22" s="11" t="s">
        <v>35</v>
      </c>
      <c r="H22" s="11" t="s">
        <v>79</v>
      </c>
      <c r="I22" s="11" t="s">
        <v>52</v>
      </c>
    </row>
    <row r="23" ht="15.75" customHeight="1">
      <c r="A23" s="21" t="str">
        <f>_xlfn.CONCAT(Table13[[#This Row],[Customer Name]]," - ",Table13[[#This Row],[Phone number]])</f>
        <v>#ERROR!</v>
      </c>
      <c r="B23" s="10" t="s">
        <v>17</v>
      </c>
      <c r="C23" s="22" t="s">
        <v>110</v>
      </c>
      <c r="D23" s="22" t="str">
        <f t="shared" si="1"/>
        <v>valid</v>
      </c>
      <c r="E23" s="11" t="s">
        <v>19</v>
      </c>
      <c r="F23" s="11" t="s">
        <v>20</v>
      </c>
      <c r="G23" s="11" t="s">
        <v>45</v>
      </c>
      <c r="H23" s="11" t="s">
        <v>79</v>
      </c>
      <c r="I23" s="11" t="s">
        <v>32</v>
      </c>
    </row>
    <row r="24" ht="15.75" customHeight="1">
      <c r="A24" s="21" t="str">
        <f>_xlfn.CONCAT(Table13[[#This Row],[Customer Name]]," - ",Table13[[#This Row],[Phone number]])</f>
        <v>#ERROR!</v>
      </c>
      <c r="B24" s="10" t="s">
        <v>72</v>
      </c>
      <c r="C24" s="22" t="s">
        <v>111</v>
      </c>
      <c r="D24" s="22" t="str">
        <f t="shared" si="1"/>
        <v>invalid</v>
      </c>
      <c r="E24" s="11" t="s">
        <v>43</v>
      </c>
      <c r="F24" s="11" t="s">
        <v>26</v>
      </c>
      <c r="G24" s="11" t="s">
        <v>35</v>
      </c>
      <c r="H24" s="11" t="s">
        <v>15</v>
      </c>
      <c r="I24" s="11" t="s">
        <v>52</v>
      </c>
    </row>
    <row r="25" ht="15.75" customHeight="1">
      <c r="A25" s="21" t="str">
        <f>_xlfn.CONCAT(Table13[[#This Row],[Customer Name]]," - ",Table13[[#This Row],[Phone number]])</f>
        <v>#ERROR!</v>
      </c>
      <c r="B25" s="10" t="s">
        <v>41</v>
      </c>
      <c r="C25" s="22" t="s">
        <v>112</v>
      </c>
      <c r="D25" s="22" t="str">
        <f t="shared" si="1"/>
        <v>valid</v>
      </c>
      <c r="E25" s="11" t="s">
        <v>12</v>
      </c>
      <c r="F25" s="11" t="s">
        <v>26</v>
      </c>
      <c r="G25" s="11" t="s">
        <v>35</v>
      </c>
      <c r="H25" s="11" t="s">
        <v>71</v>
      </c>
      <c r="I25" s="11" t="s">
        <v>66</v>
      </c>
    </row>
    <row r="26" ht="15.75" customHeight="1">
      <c r="A26" s="21" t="str">
        <f>_xlfn.CONCAT(Table13[[#This Row],[Customer Name]]," - ",Table13[[#This Row],[Phone number]])</f>
        <v>#ERROR!</v>
      </c>
      <c r="B26" s="10" t="s">
        <v>72</v>
      </c>
      <c r="C26" s="22" t="s">
        <v>113</v>
      </c>
      <c r="D26" s="22" t="str">
        <f t="shared" si="1"/>
        <v>invalid</v>
      </c>
      <c r="E26" s="11" t="s">
        <v>43</v>
      </c>
      <c r="F26" s="11" t="s">
        <v>44</v>
      </c>
      <c r="G26" s="11" t="s">
        <v>14</v>
      </c>
      <c r="H26" s="11" t="s">
        <v>49</v>
      </c>
      <c r="I26" s="11" t="s">
        <v>46</v>
      </c>
    </row>
    <row r="27" ht="15.75" customHeight="1">
      <c r="A27" s="21" t="str">
        <f>_xlfn.CONCAT(Table13[[#This Row],[Customer Name]]," - ",Table13[[#This Row],[Phone number]])</f>
        <v>#ERROR!</v>
      </c>
      <c r="B27" s="10" t="s">
        <v>84</v>
      </c>
      <c r="C27" s="22" t="s">
        <v>114</v>
      </c>
      <c r="D27" s="22" t="str">
        <f t="shared" si="1"/>
        <v>valid</v>
      </c>
      <c r="E27" s="11" t="s">
        <v>19</v>
      </c>
      <c r="F27" s="11" t="s">
        <v>26</v>
      </c>
      <c r="G27" s="11" t="s">
        <v>45</v>
      </c>
      <c r="H27" s="11" t="s">
        <v>39</v>
      </c>
      <c r="I27" s="11" t="s">
        <v>101</v>
      </c>
    </row>
    <row r="28" ht="15.75" customHeight="1">
      <c r="A28" s="21" t="str">
        <f>_xlfn.CONCAT(Table13[[#This Row],[Customer Name]]," - ",Table13[[#This Row],[Phone number]])</f>
        <v>#ERROR!</v>
      </c>
      <c r="B28" s="10" t="s">
        <v>36</v>
      </c>
      <c r="C28" s="22" t="s">
        <v>115</v>
      </c>
      <c r="D28" s="22" t="str">
        <f t="shared" si="1"/>
        <v>valid</v>
      </c>
      <c r="E28" s="11" t="s">
        <v>19</v>
      </c>
      <c r="F28" s="11" t="s">
        <v>58</v>
      </c>
      <c r="G28" s="11" t="s">
        <v>35</v>
      </c>
      <c r="H28" s="11" t="s">
        <v>22</v>
      </c>
      <c r="I28" s="11" t="s">
        <v>52</v>
      </c>
    </row>
    <row r="29" ht="15.75" customHeight="1">
      <c r="A29" s="21" t="str">
        <f>_xlfn.CONCAT(Table13[[#This Row],[Customer Name]]," - ",Table13[[#This Row],[Phone number]])</f>
        <v>#ERROR!</v>
      </c>
      <c r="B29" s="10" t="s">
        <v>50</v>
      </c>
      <c r="C29" s="22" t="s">
        <v>116</v>
      </c>
      <c r="D29" s="22" t="str">
        <f t="shared" si="1"/>
        <v>invalid</v>
      </c>
      <c r="E29" s="11" t="s">
        <v>19</v>
      </c>
      <c r="F29" s="11" t="s">
        <v>13</v>
      </c>
      <c r="G29" s="11" t="s">
        <v>14</v>
      </c>
      <c r="H29" s="11" t="s">
        <v>71</v>
      </c>
      <c r="I29" s="11" t="s">
        <v>46</v>
      </c>
    </row>
    <row r="30" ht="15.75" customHeight="1">
      <c r="A30" s="21" t="str">
        <f>_xlfn.CONCAT(Table13[[#This Row],[Customer Name]]," - ",Table13[[#This Row],[Phone number]])</f>
        <v>#ERROR!</v>
      </c>
      <c r="B30" s="10" t="s">
        <v>50</v>
      </c>
      <c r="C30" s="22" t="s">
        <v>88</v>
      </c>
      <c r="D30" s="22" t="str">
        <f t="shared" si="1"/>
        <v>invalid</v>
      </c>
      <c r="E30" s="11" t="s">
        <v>12</v>
      </c>
      <c r="F30" s="11" t="s">
        <v>20</v>
      </c>
      <c r="G30" s="11" t="s">
        <v>14</v>
      </c>
      <c r="H30" s="11" t="s">
        <v>49</v>
      </c>
      <c r="I30" s="11" t="s">
        <v>66</v>
      </c>
    </row>
    <row r="31" ht="15.75" customHeight="1">
      <c r="A31" s="21" t="str">
        <f>_xlfn.CONCAT(Table13[[#This Row],[Customer Name]]," - ",Table13[[#This Row],[Phone number]])</f>
        <v>#ERROR!</v>
      </c>
      <c r="B31" s="10" t="s">
        <v>67</v>
      </c>
      <c r="C31" s="22" t="s">
        <v>117</v>
      </c>
      <c r="D31" s="22" t="str">
        <f t="shared" si="1"/>
        <v>invalid</v>
      </c>
      <c r="E31" s="11" t="s">
        <v>38</v>
      </c>
      <c r="F31" s="11" t="s">
        <v>26</v>
      </c>
      <c r="G31" s="11" t="s">
        <v>45</v>
      </c>
      <c r="H31" s="11" t="s">
        <v>15</v>
      </c>
      <c r="I31" s="11" t="s">
        <v>52</v>
      </c>
    </row>
    <row r="32" ht="15.75" customHeight="1">
      <c r="A32" s="21" t="str">
        <f>_xlfn.CONCAT(Table13[[#This Row],[Customer Name]]," - ",Table13[[#This Row],[Phone number]])</f>
        <v>#ERROR!</v>
      </c>
      <c r="B32" s="10" t="s">
        <v>90</v>
      </c>
      <c r="C32" s="22" t="s">
        <v>118</v>
      </c>
      <c r="D32" s="22" t="str">
        <f t="shared" si="1"/>
        <v>invalid</v>
      </c>
      <c r="E32" s="11" t="s">
        <v>12</v>
      </c>
      <c r="F32" s="11" t="s">
        <v>58</v>
      </c>
      <c r="G32" s="11" t="s">
        <v>21</v>
      </c>
      <c r="H32" s="11" t="s">
        <v>28</v>
      </c>
      <c r="I32" s="11" t="s">
        <v>66</v>
      </c>
    </row>
    <row r="33" ht="15.75" customHeight="1">
      <c r="A33" s="21" t="str">
        <f>_xlfn.CONCAT(Table13[[#This Row],[Customer Name]]," - ",Table13[[#This Row],[Phone number]])</f>
        <v>#ERROR!</v>
      </c>
      <c r="B33" s="10" t="s">
        <v>41</v>
      </c>
      <c r="C33" s="22" t="s">
        <v>92</v>
      </c>
      <c r="D33" s="22" t="str">
        <f t="shared" si="1"/>
        <v>invalid</v>
      </c>
      <c r="E33" s="11" t="s">
        <v>43</v>
      </c>
      <c r="F33" s="11" t="s">
        <v>26</v>
      </c>
      <c r="G33" s="11" t="s">
        <v>45</v>
      </c>
      <c r="H33" s="11" t="s">
        <v>109</v>
      </c>
      <c r="I33" s="11" t="s">
        <v>66</v>
      </c>
    </row>
    <row r="34" ht="15.75" customHeight="1">
      <c r="A34" s="21" t="str">
        <f>_xlfn.CONCAT(Table13[[#This Row],[Customer Name]]," - ",Table13[[#This Row],[Phone number]])</f>
        <v>#ERROR!</v>
      </c>
      <c r="B34" s="10" t="s">
        <v>67</v>
      </c>
      <c r="C34" s="22" t="s">
        <v>93</v>
      </c>
      <c r="D34" s="22" t="str">
        <f t="shared" si="1"/>
        <v>invalid</v>
      </c>
      <c r="E34" s="11" t="s">
        <v>43</v>
      </c>
      <c r="F34" s="11" t="s">
        <v>44</v>
      </c>
      <c r="G34" s="11" t="s">
        <v>35</v>
      </c>
      <c r="H34" s="11" t="s">
        <v>55</v>
      </c>
      <c r="I34" s="11" t="s">
        <v>66</v>
      </c>
    </row>
    <row r="35" ht="15.75" customHeight="1">
      <c r="A35" s="21" t="str">
        <f>_xlfn.CONCAT(Table13[[#This Row],[Customer Name]]," - ",Table13[[#This Row],[Phone number]])</f>
        <v>#ERROR!</v>
      </c>
      <c r="B35" s="10" t="s">
        <v>94</v>
      </c>
      <c r="C35" s="22" t="s">
        <v>119</v>
      </c>
      <c r="D35" s="22" t="str">
        <f t="shared" si="1"/>
        <v>invalid</v>
      </c>
      <c r="E35" s="11" t="s">
        <v>43</v>
      </c>
      <c r="F35" s="11" t="s">
        <v>26</v>
      </c>
      <c r="G35" s="11" t="s">
        <v>14</v>
      </c>
      <c r="H35" s="11" t="s">
        <v>15</v>
      </c>
      <c r="I35" s="11" t="s">
        <v>46</v>
      </c>
    </row>
    <row r="36" ht="15.75" customHeight="1">
      <c r="A36" s="21" t="str">
        <f>_xlfn.CONCAT(Table13[[#This Row],[Customer Name]]," - ",Table13[[#This Row],[Phone number]])</f>
        <v>#ERROR!</v>
      </c>
      <c r="B36" s="15" t="s">
        <v>96</v>
      </c>
      <c r="C36" s="23" t="s">
        <v>97</v>
      </c>
      <c r="D36" s="22" t="str">
        <f t="shared" si="1"/>
        <v>invalid</v>
      </c>
      <c r="E36" s="16" t="s">
        <v>43</v>
      </c>
      <c r="F36" s="16" t="s">
        <v>44</v>
      </c>
      <c r="G36" s="16" t="s">
        <v>21</v>
      </c>
      <c r="H36" s="16" t="s">
        <v>109</v>
      </c>
      <c r="I36" s="16" t="s">
        <v>52</v>
      </c>
    </row>
    <row r="37" ht="15.75" hidden="1" customHeight="1">
      <c r="B37" s="24"/>
      <c r="C37" s="22"/>
      <c r="D37" s="22" t="str">
        <f t="shared" si="1"/>
        <v>invalid</v>
      </c>
      <c r="E37" s="11"/>
      <c r="F37" s="25"/>
      <c r="G37" s="14"/>
      <c r="H37" s="14"/>
      <c r="I37" s="1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DropDown="1" showErrorMessage="1" sqref="G2:G37">
      <formula1>"Closed,Not Responded,Appointment Fixed,Contacted,Pending"</formula1>
    </dataValidation>
    <dataValidation type="list" allowBlank="1" showDropDown="1" showErrorMessage="1" sqref="H2:H37">
      <formula1>"23-08-2025,19-08-2025,18-08-2025,25-08-2025,22-08-2025,16-08-2025,17-08-2025,21-08-2025,15-08-2025"</formula1>
    </dataValidation>
    <dataValidation type="list" allowBlank="1" showDropDown="1" showErrorMessage="1" sqref="F2:F37">
      <formula1>"Diamond Ring,Bridal Set,Jadau Earrings,Polki Necklace,Gold Bangles"</formula1>
    </dataValidation>
    <dataValidation type="list" allowBlank="1" showDropDown="1" showErrorMessage="1" sqref="I2:I37">
      <formula1>"low budget,Wants Callback,interested,High Budget,Comparing Options,Interested"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4.29"/>
    <col customWidth="1" min="3" max="3" width="13.14"/>
    <col customWidth="1" min="4" max="4" width="15.29"/>
    <col customWidth="1" min="5" max="5" width="9.71"/>
    <col customWidth="1" min="6" max="6" width="8.71"/>
    <col customWidth="1" min="7" max="7" width="16.29"/>
    <col customWidth="1" min="8" max="8" width="17.43"/>
    <col customWidth="1" min="9" max="9" width="16.71"/>
    <col customWidth="1" min="10" max="26" width="8.71"/>
  </cols>
  <sheetData>
    <row r="1" ht="14.25" customHeight="1">
      <c r="A1" s="26" t="s">
        <v>98</v>
      </c>
      <c r="B1" s="27" t="s">
        <v>1</v>
      </c>
      <c r="C1" s="27" t="s">
        <v>99</v>
      </c>
      <c r="D1" s="27" t="s">
        <v>120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</row>
    <row r="2" ht="14.25" customHeight="1">
      <c r="A2" s="29" t="s">
        <v>121</v>
      </c>
      <c r="B2" s="29" t="s">
        <v>10</v>
      </c>
      <c r="C2" s="30">
        <v>9.81207197E8</v>
      </c>
      <c r="D2" s="29" t="s">
        <v>122</v>
      </c>
      <c r="E2" s="29" t="s">
        <v>12</v>
      </c>
      <c r="F2" s="29" t="s">
        <v>13</v>
      </c>
      <c r="G2" s="29" t="s">
        <v>14</v>
      </c>
      <c r="H2" s="29" t="s">
        <v>15</v>
      </c>
      <c r="I2" s="29" t="s">
        <v>101</v>
      </c>
    </row>
    <row r="3" ht="14.25" customHeight="1">
      <c r="A3" s="31" t="s">
        <v>123</v>
      </c>
      <c r="B3" s="31" t="s">
        <v>17</v>
      </c>
      <c r="C3" s="32">
        <v>3.16699969071E11</v>
      </c>
      <c r="D3" s="31" t="s">
        <v>122</v>
      </c>
      <c r="E3" s="31" t="s">
        <v>19</v>
      </c>
      <c r="F3" s="31" t="s">
        <v>20</v>
      </c>
      <c r="G3" s="31" t="s">
        <v>21</v>
      </c>
      <c r="H3" s="31" t="s">
        <v>22</v>
      </c>
      <c r="I3" s="31" t="s">
        <v>101</v>
      </c>
    </row>
    <row r="4" ht="14.25" customHeight="1">
      <c r="A4" s="31" t="s">
        <v>124</v>
      </c>
      <c r="B4" s="31" t="s">
        <v>23</v>
      </c>
      <c r="C4" s="32" t="s">
        <v>24</v>
      </c>
      <c r="D4" s="31" t="s">
        <v>122</v>
      </c>
      <c r="E4" s="31" t="s">
        <v>38</v>
      </c>
      <c r="F4" s="31" t="s">
        <v>26</v>
      </c>
      <c r="G4" s="31" t="s">
        <v>27</v>
      </c>
      <c r="H4" s="31" t="s">
        <v>28</v>
      </c>
      <c r="I4" s="31" t="s">
        <v>101</v>
      </c>
    </row>
    <row r="5" ht="14.25" customHeight="1">
      <c r="A5" s="31" t="s">
        <v>125</v>
      </c>
      <c r="B5" s="31" t="s">
        <v>29</v>
      </c>
      <c r="C5" s="32" t="s">
        <v>102</v>
      </c>
      <c r="D5" s="31" t="s">
        <v>122</v>
      </c>
      <c r="E5" s="31" t="s">
        <v>12</v>
      </c>
      <c r="F5" s="31" t="s">
        <v>20</v>
      </c>
      <c r="G5" s="31" t="s">
        <v>14</v>
      </c>
      <c r="H5" s="31" t="s">
        <v>15</v>
      </c>
      <c r="I5" s="31" t="s">
        <v>32</v>
      </c>
    </row>
    <row r="6" ht="14.25" customHeight="1">
      <c r="A6" s="31" t="s">
        <v>126</v>
      </c>
      <c r="B6" s="31" t="s">
        <v>10</v>
      </c>
      <c r="C6" s="32" t="s">
        <v>33</v>
      </c>
      <c r="D6" s="31" t="s">
        <v>122</v>
      </c>
      <c r="E6" s="31" t="s">
        <v>43</v>
      </c>
      <c r="F6" s="31" t="s">
        <v>26</v>
      </c>
      <c r="G6" s="31" t="s">
        <v>35</v>
      </c>
      <c r="H6" s="31" t="s">
        <v>15</v>
      </c>
      <c r="I6" s="31" t="s">
        <v>101</v>
      </c>
    </row>
    <row r="7" ht="14.25" customHeight="1">
      <c r="A7" s="31" t="s">
        <v>127</v>
      </c>
      <c r="B7" s="31" t="s">
        <v>36</v>
      </c>
      <c r="C7" s="32" t="s">
        <v>37</v>
      </c>
      <c r="D7" s="31" t="s">
        <v>122</v>
      </c>
      <c r="E7" s="31" t="s">
        <v>38</v>
      </c>
      <c r="F7" s="31" t="s">
        <v>26</v>
      </c>
      <c r="G7" s="31" t="s">
        <v>21</v>
      </c>
      <c r="H7" s="31" t="s">
        <v>39</v>
      </c>
      <c r="I7" s="31" t="s">
        <v>66</v>
      </c>
    </row>
    <row r="8" ht="14.25" customHeight="1">
      <c r="A8" s="31" t="s">
        <v>128</v>
      </c>
      <c r="B8" s="31" t="s">
        <v>41</v>
      </c>
      <c r="C8" s="32" t="s">
        <v>103</v>
      </c>
      <c r="D8" s="31" t="s">
        <v>129</v>
      </c>
      <c r="E8" s="31" t="s">
        <v>43</v>
      </c>
      <c r="F8" s="31" t="s">
        <v>44</v>
      </c>
      <c r="G8" s="31" t="s">
        <v>45</v>
      </c>
      <c r="H8" s="31" t="s">
        <v>28</v>
      </c>
      <c r="I8" s="31" t="s">
        <v>46</v>
      </c>
    </row>
    <row r="9" ht="14.25" customHeight="1">
      <c r="A9" s="31" t="s">
        <v>130</v>
      </c>
      <c r="B9" s="31" t="s">
        <v>47</v>
      </c>
      <c r="C9" s="32" t="s">
        <v>48</v>
      </c>
      <c r="D9" s="31" t="s">
        <v>122</v>
      </c>
      <c r="E9" s="31" t="s">
        <v>12</v>
      </c>
      <c r="F9" s="31" t="s">
        <v>13</v>
      </c>
      <c r="G9" s="31" t="s">
        <v>35</v>
      </c>
      <c r="H9" s="31" t="s">
        <v>49</v>
      </c>
      <c r="I9" s="31" t="s">
        <v>46</v>
      </c>
    </row>
    <row r="10" ht="14.25" customHeight="1">
      <c r="A10" s="31" t="s">
        <v>131</v>
      </c>
      <c r="B10" s="31" t="s">
        <v>50</v>
      </c>
      <c r="C10" s="32" t="s">
        <v>104</v>
      </c>
      <c r="D10" s="31" t="s">
        <v>129</v>
      </c>
      <c r="E10" s="31" t="s">
        <v>38</v>
      </c>
      <c r="F10" s="31" t="s">
        <v>13</v>
      </c>
      <c r="G10" s="31" t="s">
        <v>45</v>
      </c>
      <c r="H10" s="31" t="s">
        <v>28</v>
      </c>
      <c r="I10" s="31" t="s">
        <v>52</v>
      </c>
    </row>
    <row r="11" ht="14.25" customHeight="1">
      <c r="A11" s="31" t="s">
        <v>132</v>
      </c>
      <c r="B11" s="31" t="s">
        <v>47</v>
      </c>
      <c r="C11" s="32" t="s">
        <v>53</v>
      </c>
      <c r="D11" s="31" t="s">
        <v>122</v>
      </c>
      <c r="E11" s="31" t="s">
        <v>54</v>
      </c>
      <c r="F11" s="31" t="s">
        <v>13</v>
      </c>
      <c r="G11" s="31" t="s">
        <v>27</v>
      </c>
      <c r="H11" s="31" t="s">
        <v>55</v>
      </c>
      <c r="I11" s="31" t="s">
        <v>52</v>
      </c>
    </row>
    <row r="12" ht="14.25" customHeight="1">
      <c r="A12" s="31" t="s">
        <v>133</v>
      </c>
      <c r="B12" s="31" t="s">
        <v>29</v>
      </c>
      <c r="C12" s="32" t="s">
        <v>56</v>
      </c>
      <c r="D12" s="31" t="s">
        <v>122</v>
      </c>
      <c r="E12" s="31" t="s">
        <v>12</v>
      </c>
      <c r="F12" s="31" t="s">
        <v>44</v>
      </c>
      <c r="G12" s="31" t="s">
        <v>14</v>
      </c>
      <c r="H12" s="31" t="s">
        <v>55</v>
      </c>
      <c r="I12" s="31" t="s">
        <v>46</v>
      </c>
    </row>
    <row r="13" ht="14.25" customHeight="1">
      <c r="A13" s="31" t="s">
        <v>134</v>
      </c>
      <c r="B13" s="31" t="s">
        <v>29</v>
      </c>
      <c r="C13" s="32" t="s">
        <v>57</v>
      </c>
      <c r="D13" s="31" t="s">
        <v>122</v>
      </c>
      <c r="E13" s="31" t="s">
        <v>43</v>
      </c>
      <c r="F13" s="31" t="s">
        <v>58</v>
      </c>
      <c r="G13" s="31" t="s">
        <v>45</v>
      </c>
      <c r="H13" s="31" t="s">
        <v>59</v>
      </c>
      <c r="I13" s="31" t="s">
        <v>32</v>
      </c>
    </row>
    <row r="14" ht="14.25" customHeight="1">
      <c r="A14" s="31" t="s">
        <v>135</v>
      </c>
      <c r="B14" s="31" t="s">
        <v>10</v>
      </c>
      <c r="C14" s="32" t="s">
        <v>105</v>
      </c>
      <c r="D14" s="31" t="s">
        <v>129</v>
      </c>
      <c r="E14" s="31" t="s">
        <v>19</v>
      </c>
      <c r="F14" s="31" t="s">
        <v>58</v>
      </c>
      <c r="G14" s="31" t="s">
        <v>35</v>
      </c>
      <c r="H14" s="31" t="s">
        <v>28</v>
      </c>
      <c r="I14" s="31" t="s">
        <v>52</v>
      </c>
    </row>
    <row r="15" ht="14.25" customHeight="1">
      <c r="A15" s="31" t="s">
        <v>136</v>
      </c>
      <c r="B15" s="31" t="s">
        <v>62</v>
      </c>
      <c r="C15" s="32" t="s">
        <v>63</v>
      </c>
      <c r="D15" s="31" t="s">
        <v>122</v>
      </c>
      <c r="E15" s="31" t="s">
        <v>54</v>
      </c>
      <c r="F15" s="31" t="s">
        <v>58</v>
      </c>
      <c r="G15" s="31" t="s">
        <v>14</v>
      </c>
      <c r="H15" s="31" t="s">
        <v>28</v>
      </c>
      <c r="I15" s="31" t="s">
        <v>52</v>
      </c>
    </row>
    <row r="16" ht="14.25" customHeight="1">
      <c r="A16" s="31" t="s">
        <v>137</v>
      </c>
      <c r="B16" s="31" t="s">
        <v>47</v>
      </c>
      <c r="C16" s="32" t="s">
        <v>106</v>
      </c>
      <c r="D16" s="31" t="s">
        <v>129</v>
      </c>
      <c r="E16" s="31" t="s">
        <v>43</v>
      </c>
      <c r="F16" s="31" t="s">
        <v>13</v>
      </c>
      <c r="G16" s="31" t="s">
        <v>35</v>
      </c>
      <c r="H16" s="31" t="s">
        <v>49</v>
      </c>
      <c r="I16" s="31" t="s">
        <v>66</v>
      </c>
    </row>
    <row r="17" ht="14.25" customHeight="1">
      <c r="A17" s="31" t="s">
        <v>138</v>
      </c>
      <c r="B17" s="31" t="s">
        <v>67</v>
      </c>
      <c r="C17" s="32" t="s">
        <v>107</v>
      </c>
      <c r="D17" s="31" t="s">
        <v>129</v>
      </c>
      <c r="E17" s="31" t="s">
        <v>12</v>
      </c>
      <c r="F17" s="31" t="s">
        <v>20</v>
      </c>
      <c r="G17" s="31" t="s">
        <v>21</v>
      </c>
      <c r="H17" s="31" t="s">
        <v>28</v>
      </c>
      <c r="I17" s="31" t="s">
        <v>32</v>
      </c>
    </row>
    <row r="18" ht="14.25" customHeight="1">
      <c r="A18" s="31" t="s">
        <v>139</v>
      </c>
      <c r="B18" s="31" t="s">
        <v>67</v>
      </c>
      <c r="C18" s="32" t="s">
        <v>69</v>
      </c>
      <c r="D18" s="31" t="s">
        <v>122</v>
      </c>
      <c r="E18" s="31" t="s">
        <v>12</v>
      </c>
      <c r="F18" s="31" t="s">
        <v>44</v>
      </c>
      <c r="G18" s="31" t="s">
        <v>14</v>
      </c>
      <c r="H18" s="31" t="s">
        <v>55</v>
      </c>
      <c r="I18" s="31" t="s">
        <v>101</v>
      </c>
    </row>
    <row r="19" ht="14.25" customHeight="1">
      <c r="A19" s="31" t="s">
        <v>140</v>
      </c>
      <c r="B19" s="31" t="s">
        <v>29</v>
      </c>
      <c r="C19" s="32" t="s">
        <v>108</v>
      </c>
      <c r="D19" s="31" t="s">
        <v>129</v>
      </c>
      <c r="E19" s="31" t="s">
        <v>12</v>
      </c>
      <c r="F19" s="31" t="s">
        <v>13</v>
      </c>
      <c r="G19" s="31" t="s">
        <v>45</v>
      </c>
      <c r="H19" s="31" t="s">
        <v>71</v>
      </c>
      <c r="I19" s="31" t="s">
        <v>32</v>
      </c>
    </row>
    <row r="20" ht="14.25" customHeight="1">
      <c r="A20" s="31" t="s">
        <v>141</v>
      </c>
      <c r="B20" s="31" t="s">
        <v>72</v>
      </c>
      <c r="C20" s="32" t="s">
        <v>73</v>
      </c>
      <c r="D20" s="31" t="s">
        <v>122</v>
      </c>
      <c r="E20" s="31" t="s">
        <v>38</v>
      </c>
      <c r="F20" s="31" t="s">
        <v>58</v>
      </c>
      <c r="G20" s="31" t="s">
        <v>21</v>
      </c>
      <c r="H20" s="31" t="s">
        <v>39</v>
      </c>
      <c r="I20" s="31" t="s">
        <v>32</v>
      </c>
    </row>
    <row r="21" ht="14.25" customHeight="1">
      <c r="A21" s="31" t="s">
        <v>142</v>
      </c>
      <c r="B21" s="31" t="s">
        <v>74</v>
      </c>
      <c r="C21" s="32" t="s">
        <v>75</v>
      </c>
      <c r="D21" s="31" t="s">
        <v>122</v>
      </c>
      <c r="E21" s="31" t="s">
        <v>54</v>
      </c>
      <c r="F21" s="31" t="s">
        <v>13</v>
      </c>
      <c r="G21" s="31" t="s">
        <v>14</v>
      </c>
      <c r="H21" s="31" t="s">
        <v>109</v>
      </c>
      <c r="I21" s="31" t="s">
        <v>32</v>
      </c>
    </row>
    <row r="22" ht="14.25" customHeight="1">
      <c r="A22" s="31" t="s">
        <v>143</v>
      </c>
      <c r="B22" s="31" t="s">
        <v>77</v>
      </c>
      <c r="C22" s="32" t="s">
        <v>78</v>
      </c>
      <c r="D22" s="31" t="s">
        <v>122</v>
      </c>
      <c r="E22" s="31" t="s">
        <v>43</v>
      </c>
      <c r="F22" s="31" t="s">
        <v>26</v>
      </c>
      <c r="G22" s="31" t="s">
        <v>35</v>
      </c>
      <c r="H22" s="31" t="s">
        <v>79</v>
      </c>
      <c r="I22" s="31" t="s">
        <v>52</v>
      </c>
    </row>
    <row r="23" ht="14.25" customHeight="1">
      <c r="A23" s="31" t="s">
        <v>144</v>
      </c>
      <c r="B23" s="31" t="s">
        <v>17</v>
      </c>
      <c r="C23" s="32" t="s">
        <v>110</v>
      </c>
      <c r="D23" s="31" t="s">
        <v>129</v>
      </c>
      <c r="E23" s="31" t="s">
        <v>19</v>
      </c>
      <c r="F23" s="31" t="s">
        <v>20</v>
      </c>
      <c r="G23" s="31" t="s">
        <v>45</v>
      </c>
      <c r="H23" s="31" t="s">
        <v>79</v>
      </c>
      <c r="I23" s="31" t="s">
        <v>32</v>
      </c>
    </row>
    <row r="24" ht="14.25" customHeight="1">
      <c r="A24" s="31" t="s">
        <v>145</v>
      </c>
      <c r="B24" s="31" t="s">
        <v>72</v>
      </c>
      <c r="C24" s="32" t="s">
        <v>111</v>
      </c>
      <c r="D24" s="31" t="s">
        <v>122</v>
      </c>
      <c r="E24" s="31" t="s">
        <v>43</v>
      </c>
      <c r="F24" s="31" t="s">
        <v>26</v>
      </c>
      <c r="G24" s="31" t="s">
        <v>35</v>
      </c>
      <c r="H24" s="31" t="s">
        <v>15</v>
      </c>
      <c r="I24" s="31" t="s">
        <v>52</v>
      </c>
    </row>
    <row r="25" ht="14.25" customHeight="1">
      <c r="A25" s="31" t="s">
        <v>146</v>
      </c>
      <c r="B25" s="31" t="s">
        <v>41</v>
      </c>
      <c r="C25" s="32" t="s">
        <v>112</v>
      </c>
      <c r="D25" s="31" t="s">
        <v>129</v>
      </c>
      <c r="E25" s="31" t="s">
        <v>12</v>
      </c>
      <c r="F25" s="31" t="s">
        <v>26</v>
      </c>
      <c r="G25" s="31" t="s">
        <v>35</v>
      </c>
      <c r="H25" s="31" t="s">
        <v>71</v>
      </c>
      <c r="I25" s="31" t="s">
        <v>66</v>
      </c>
    </row>
    <row r="26" ht="14.25" customHeight="1">
      <c r="A26" s="31" t="s">
        <v>147</v>
      </c>
      <c r="B26" s="31" t="s">
        <v>72</v>
      </c>
      <c r="C26" s="32" t="s">
        <v>113</v>
      </c>
      <c r="D26" s="31" t="s">
        <v>122</v>
      </c>
      <c r="E26" s="31" t="s">
        <v>43</v>
      </c>
      <c r="F26" s="31" t="s">
        <v>44</v>
      </c>
      <c r="G26" s="31" t="s">
        <v>14</v>
      </c>
      <c r="H26" s="31" t="s">
        <v>49</v>
      </c>
      <c r="I26" s="31" t="s">
        <v>46</v>
      </c>
    </row>
    <row r="27" ht="14.25" customHeight="1">
      <c r="A27" s="31" t="s">
        <v>148</v>
      </c>
      <c r="B27" s="31" t="s">
        <v>84</v>
      </c>
      <c r="C27" s="32" t="s">
        <v>114</v>
      </c>
      <c r="D27" s="31" t="s">
        <v>129</v>
      </c>
      <c r="E27" s="31" t="s">
        <v>19</v>
      </c>
      <c r="F27" s="31" t="s">
        <v>26</v>
      </c>
      <c r="G27" s="31" t="s">
        <v>45</v>
      </c>
      <c r="H27" s="31" t="s">
        <v>39</v>
      </c>
      <c r="I27" s="31" t="s">
        <v>101</v>
      </c>
    </row>
    <row r="28" ht="14.25" customHeight="1">
      <c r="A28" s="31" t="s">
        <v>149</v>
      </c>
      <c r="B28" s="31" t="s">
        <v>36</v>
      </c>
      <c r="C28" s="32" t="s">
        <v>115</v>
      </c>
      <c r="D28" s="31" t="s">
        <v>129</v>
      </c>
      <c r="E28" s="31" t="s">
        <v>19</v>
      </c>
      <c r="F28" s="31" t="s">
        <v>58</v>
      </c>
      <c r="G28" s="31" t="s">
        <v>35</v>
      </c>
      <c r="H28" s="31" t="s">
        <v>22</v>
      </c>
      <c r="I28" s="31" t="s">
        <v>52</v>
      </c>
    </row>
    <row r="29" ht="14.25" customHeight="1">
      <c r="A29" s="31" t="s">
        <v>150</v>
      </c>
      <c r="B29" s="31" t="s">
        <v>50</v>
      </c>
      <c r="C29" s="32" t="s">
        <v>116</v>
      </c>
      <c r="D29" s="31" t="s">
        <v>122</v>
      </c>
      <c r="E29" s="31" t="s">
        <v>19</v>
      </c>
      <c r="F29" s="31" t="s">
        <v>13</v>
      </c>
      <c r="G29" s="31" t="s">
        <v>14</v>
      </c>
      <c r="H29" s="31" t="s">
        <v>71</v>
      </c>
      <c r="I29" s="31" t="s">
        <v>46</v>
      </c>
    </row>
    <row r="30" ht="14.25" customHeight="1">
      <c r="A30" s="31" t="s">
        <v>151</v>
      </c>
      <c r="B30" s="31" t="s">
        <v>50</v>
      </c>
      <c r="C30" s="32" t="s">
        <v>88</v>
      </c>
      <c r="D30" s="31" t="s">
        <v>122</v>
      </c>
      <c r="E30" s="31" t="s">
        <v>12</v>
      </c>
      <c r="F30" s="31" t="s">
        <v>20</v>
      </c>
      <c r="G30" s="31" t="s">
        <v>14</v>
      </c>
      <c r="H30" s="31" t="s">
        <v>49</v>
      </c>
      <c r="I30" s="31" t="s">
        <v>66</v>
      </c>
    </row>
    <row r="31" ht="14.25" customHeight="1">
      <c r="A31" s="31" t="s">
        <v>152</v>
      </c>
      <c r="B31" s="31" t="s">
        <v>67</v>
      </c>
      <c r="C31" s="32" t="s">
        <v>117</v>
      </c>
      <c r="D31" s="31" t="s">
        <v>122</v>
      </c>
      <c r="E31" s="31" t="s">
        <v>38</v>
      </c>
      <c r="F31" s="31" t="s">
        <v>26</v>
      </c>
      <c r="G31" s="31" t="s">
        <v>45</v>
      </c>
      <c r="H31" s="31" t="s">
        <v>15</v>
      </c>
      <c r="I31" s="31" t="s">
        <v>52</v>
      </c>
    </row>
    <row r="32" ht="14.25" customHeight="1">
      <c r="A32" s="31" t="s">
        <v>153</v>
      </c>
      <c r="B32" s="31" t="s">
        <v>90</v>
      </c>
      <c r="C32" s="32" t="s">
        <v>118</v>
      </c>
      <c r="D32" s="31" t="s">
        <v>122</v>
      </c>
      <c r="E32" s="31" t="s">
        <v>12</v>
      </c>
      <c r="F32" s="31" t="s">
        <v>58</v>
      </c>
      <c r="G32" s="31" t="s">
        <v>21</v>
      </c>
      <c r="H32" s="31" t="s">
        <v>28</v>
      </c>
      <c r="I32" s="31" t="s">
        <v>66</v>
      </c>
    </row>
    <row r="33" ht="14.25" customHeight="1">
      <c r="A33" s="31" t="s">
        <v>154</v>
      </c>
      <c r="B33" s="31" t="s">
        <v>41</v>
      </c>
      <c r="C33" s="32" t="s">
        <v>92</v>
      </c>
      <c r="D33" s="31" t="s">
        <v>122</v>
      </c>
      <c r="E33" s="31" t="s">
        <v>43</v>
      </c>
      <c r="F33" s="31" t="s">
        <v>26</v>
      </c>
      <c r="G33" s="31" t="s">
        <v>45</v>
      </c>
      <c r="H33" s="31" t="s">
        <v>109</v>
      </c>
      <c r="I33" s="31" t="s">
        <v>66</v>
      </c>
    </row>
    <row r="34" ht="14.25" customHeight="1">
      <c r="A34" s="31" t="s">
        <v>155</v>
      </c>
      <c r="B34" s="31" t="s">
        <v>67</v>
      </c>
      <c r="C34" s="32" t="s">
        <v>93</v>
      </c>
      <c r="D34" s="31" t="s">
        <v>122</v>
      </c>
      <c r="E34" s="31" t="s">
        <v>43</v>
      </c>
      <c r="F34" s="31" t="s">
        <v>44</v>
      </c>
      <c r="G34" s="31" t="s">
        <v>35</v>
      </c>
      <c r="H34" s="31" t="s">
        <v>55</v>
      </c>
      <c r="I34" s="31" t="s">
        <v>66</v>
      </c>
    </row>
    <row r="35" ht="14.25" customHeight="1">
      <c r="A35" s="31" t="s">
        <v>156</v>
      </c>
      <c r="B35" s="31" t="s">
        <v>94</v>
      </c>
      <c r="C35" s="32" t="s">
        <v>119</v>
      </c>
      <c r="D35" s="31" t="s">
        <v>122</v>
      </c>
      <c r="E35" s="31" t="s">
        <v>43</v>
      </c>
      <c r="F35" s="31" t="s">
        <v>26</v>
      </c>
      <c r="G35" s="31" t="s">
        <v>14</v>
      </c>
      <c r="H35" s="31" t="s">
        <v>15</v>
      </c>
      <c r="I35" s="31" t="s">
        <v>46</v>
      </c>
    </row>
    <row r="36" ht="14.25" customHeight="1">
      <c r="A36" s="31" t="s">
        <v>157</v>
      </c>
      <c r="B36" s="31" t="s">
        <v>96</v>
      </c>
      <c r="C36" s="32" t="s">
        <v>97</v>
      </c>
      <c r="D36" s="31" t="s">
        <v>122</v>
      </c>
      <c r="E36" s="31" t="s">
        <v>43</v>
      </c>
      <c r="F36" s="31" t="s">
        <v>44</v>
      </c>
      <c r="G36" s="31" t="s">
        <v>21</v>
      </c>
      <c r="H36" s="31" t="s">
        <v>109</v>
      </c>
      <c r="I36" s="31" t="s">
        <v>52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71"/>
    <col customWidth="1" min="3" max="3" width="10.86"/>
    <col customWidth="1" min="4" max="4" width="8.71"/>
    <col customWidth="1" min="5" max="5" width="16.29"/>
    <col customWidth="1" min="6" max="6" width="11.29"/>
    <col customWidth="1" min="7" max="7" width="9.29"/>
    <col customWidth="1" min="8" max="8" width="15.29"/>
    <col customWidth="1" min="9" max="9" width="16.29"/>
    <col customWidth="1" min="10" max="10" width="6.43"/>
    <col customWidth="1" min="11" max="11" width="15.43"/>
    <col customWidth="1" min="12" max="12" width="22.29"/>
    <col customWidth="1" min="13" max="13" width="7.29"/>
    <col customWidth="1" min="14" max="14" width="10.57"/>
    <col customWidth="1" min="15" max="15" width="25.29"/>
    <col customWidth="1" min="16" max="16" width="19.57"/>
    <col customWidth="1" min="17" max="17" width="25.0"/>
    <col customWidth="1" min="18" max="20" width="8.71"/>
    <col customWidth="1" min="21" max="21" width="25.29"/>
    <col customWidth="1" min="22" max="22" width="16.29"/>
    <col customWidth="1" min="23" max="23" width="16.71"/>
    <col customWidth="1" min="24" max="24" width="25.0"/>
    <col customWidth="1" min="25" max="26" width="8.71"/>
  </cols>
  <sheetData>
    <row r="1" ht="14.25" customHeight="1">
      <c r="O1" s="33" t="s">
        <v>158</v>
      </c>
      <c r="P1" s="33"/>
    </row>
    <row r="2" ht="14.25" customHeight="1">
      <c r="H2" s="34"/>
      <c r="O2" s="19" t="s">
        <v>98</v>
      </c>
      <c r="P2" s="35" t="s">
        <v>5</v>
      </c>
      <c r="Q2" s="19" t="s">
        <v>159</v>
      </c>
      <c r="R2" s="36" t="str">
        <f>S17</f>
        <v/>
      </c>
      <c r="U2" s="26" t="s">
        <v>98</v>
      </c>
      <c r="V2" s="27" t="s">
        <v>5</v>
      </c>
      <c r="W2" s="37" t="s">
        <v>7</v>
      </c>
      <c r="X2" s="28" t="s">
        <v>160</v>
      </c>
    </row>
    <row r="3" ht="14.25" customHeight="1">
      <c r="O3" s="21" t="s">
        <v>121</v>
      </c>
      <c r="P3" s="12" t="s">
        <v>14</v>
      </c>
      <c r="Q3" s="21">
        <v>69.0</v>
      </c>
      <c r="R3" s="36" t="b">
        <f>IF(AND(Cleaned_Data!I3="Interested",Cleaned_Data!G3="Not Responded"),"Interested but not responded")</f>
        <v>0</v>
      </c>
      <c r="U3" s="29" t="s">
        <v>121</v>
      </c>
      <c r="V3" s="29" t="s">
        <v>14</v>
      </c>
      <c r="W3" s="38" t="s">
        <v>101</v>
      </c>
      <c r="X3" s="29" t="str">
        <f t="shared" ref="X3:X37" si="1">IF(AND(W3="Interested",V3="Not Responded"),"Interested but not responded","Nil")</f>
        <v>Nil</v>
      </c>
    </row>
    <row r="4" ht="14.25" customHeight="1">
      <c r="B4" s="39" t="s">
        <v>161</v>
      </c>
      <c r="E4" s="39" t="s">
        <v>162</v>
      </c>
      <c r="H4" s="39" t="s">
        <v>163</v>
      </c>
      <c r="K4" s="39" t="s">
        <v>159</v>
      </c>
      <c r="O4" s="21" t="s">
        <v>123</v>
      </c>
      <c r="P4" s="12" t="s">
        <v>21</v>
      </c>
      <c r="Q4" s="21">
        <v>73.0</v>
      </c>
      <c r="R4" s="36" t="b">
        <f>IF(AND(Cleaned_Data!I4="Interested",Cleaned_Data!G4="Not Responded"),"Interested but not responded")</f>
        <v>0</v>
      </c>
      <c r="U4" s="31" t="s">
        <v>123</v>
      </c>
      <c r="V4" s="31" t="s">
        <v>21</v>
      </c>
      <c r="W4" s="40" t="s">
        <v>101</v>
      </c>
      <c r="X4" s="31" t="str">
        <f t="shared" si="1"/>
        <v>Nil</v>
      </c>
    </row>
    <row r="5" ht="14.25" customHeight="1">
      <c r="H5" s="41" t="s">
        <v>3</v>
      </c>
      <c r="I5" s="41" t="s">
        <v>164</v>
      </c>
      <c r="O5" s="21" t="s">
        <v>124</v>
      </c>
      <c r="P5" s="12" t="s">
        <v>27</v>
      </c>
      <c r="Q5" s="21">
        <v>74.0</v>
      </c>
      <c r="R5" s="36" t="b">
        <f>IF(AND(Cleaned_Data!I5="Interested",Cleaned_Data!G5="Not Responded"),"Interested but not responded")</f>
        <v>0</v>
      </c>
      <c r="U5" s="31" t="s">
        <v>124</v>
      </c>
      <c r="V5" s="31" t="s">
        <v>27</v>
      </c>
      <c r="W5" s="40" t="s">
        <v>101</v>
      </c>
      <c r="X5" s="31" t="str">
        <f t="shared" si="1"/>
        <v>Nil</v>
      </c>
    </row>
    <row r="6" ht="14.25" customHeight="1">
      <c r="B6" s="42" t="s">
        <v>3</v>
      </c>
      <c r="C6" s="42" t="s">
        <v>165</v>
      </c>
      <c r="E6" s="43" t="s">
        <v>5</v>
      </c>
      <c r="F6" s="43" t="s">
        <v>166</v>
      </c>
      <c r="H6" s="41" t="str">
        <f t="array" ref="H6:H10">UNIQUE(Cleaned_Data!E2:E36,FALSE,FALSE)</f>
        <v>Hyderabad</v>
      </c>
      <c r="I6" s="44">
        <f>COUNTIFS(Cleaned_Data!E:E,'Working sheet 2'!H6,Cleaned_Data!G:G,"Closed")/COUNTIF(Cleaned_Data!E:E,'Working sheet 2'!H6)</f>
        <v>0.5</v>
      </c>
      <c r="K6" s="45" t="s">
        <v>167</v>
      </c>
      <c r="L6" s="45" t="s">
        <v>159</v>
      </c>
      <c r="O6" s="21" t="s">
        <v>125</v>
      </c>
      <c r="P6" s="12" t="s">
        <v>14</v>
      </c>
      <c r="Q6" s="21">
        <v>69.0</v>
      </c>
      <c r="R6" s="36" t="b">
        <f>IF(AND(Cleaned_Data!I6="Interested",Cleaned_Data!G6="Not Responded"),"Interested but not responded")</f>
        <v>0</v>
      </c>
      <c r="U6" s="31" t="s">
        <v>125</v>
      </c>
      <c r="V6" s="31" t="s">
        <v>14</v>
      </c>
      <c r="W6" s="40" t="s">
        <v>32</v>
      </c>
      <c r="X6" s="31" t="str">
        <f t="shared" si="1"/>
        <v>Nil</v>
      </c>
    </row>
    <row r="7" ht="14.25" customHeight="1">
      <c r="B7" s="42" t="str">
        <f t="array" ref="B7:B11">UNIQUE(Cleaned_Data!E2:E36,FALSE,FALSE)</f>
        <v>Hyderabad</v>
      </c>
      <c r="C7" s="42">
        <f>COUNTIF(Cleaned_Data!E2:E36,'Working sheet 2'!B7)</f>
        <v>10</v>
      </c>
      <c r="E7" s="43" t="str">
        <f t="array" ref="E7:E11">UNIQUE(Cleaned_Data!G2:G36,FALSE,FALSE)</f>
        <v>Closed</v>
      </c>
      <c r="F7" s="43">
        <f>COUNTIF(Cleaned_Data!G2:G36,'Working sheet 2'!E7)</f>
        <v>10</v>
      </c>
      <c r="H7" s="41" t="s">
        <v>19</v>
      </c>
      <c r="I7" s="44">
        <f>COUNTIFS(Cleaned_Data!E:E,'Working sheet 2'!H7,Cleaned_Data!G:G,"Closed")/COUNTIF(Cleaned_Data!E:E,'Working sheet 2'!H7)</f>
        <v>0.1666666667</v>
      </c>
      <c r="K7" s="46" t="s">
        <v>10</v>
      </c>
      <c r="L7" s="47">
        <f>IFERROR(TODAY()-Cleaned_Data!H2,"not_updated")</f>
        <v>258</v>
      </c>
      <c r="O7" s="21" t="s">
        <v>126</v>
      </c>
      <c r="P7" s="12" t="s">
        <v>35</v>
      </c>
      <c r="Q7" s="21">
        <v>69.0</v>
      </c>
      <c r="R7" s="36" t="str">
        <f>IF(AND(Cleaned_Data!I7="Interested",Cleaned_Data!G7="Not Responded"),"Interested but not responded")</f>
        <v>Interested but not responded</v>
      </c>
      <c r="U7" s="31" t="s">
        <v>126</v>
      </c>
      <c r="V7" s="31" t="s">
        <v>35</v>
      </c>
      <c r="W7" s="40" t="s">
        <v>101</v>
      </c>
      <c r="X7" s="31" t="str">
        <f t="shared" si="1"/>
        <v>Nil</v>
      </c>
    </row>
    <row r="8" ht="14.25" customHeight="1">
      <c r="B8" s="42" t="s">
        <v>19</v>
      </c>
      <c r="C8" s="42">
        <f>COUNTIF(Cleaned_Data!E3:E37,'Working sheet 2'!B8)</f>
        <v>6</v>
      </c>
      <c r="E8" s="43" t="s">
        <v>21</v>
      </c>
      <c r="F8" s="43">
        <f>COUNTIF(Cleaned_Data!G3:G37,'Working sheet 2'!E8)</f>
        <v>6</v>
      </c>
      <c r="H8" s="41" t="s">
        <v>38</v>
      </c>
      <c r="I8" s="44">
        <f>COUNTIFS(Cleaned_Data!E:E,'Working sheet 2'!H8,Cleaned_Data!G:G,"Closed")/COUNTIF(Cleaned_Data!E:E,'Working sheet 2'!H8)</f>
        <v>0</v>
      </c>
      <c r="K8" s="46" t="s">
        <v>17</v>
      </c>
      <c r="L8" s="47">
        <f>IFERROR(TODAY()-Cleaned_Data!H3,"not_updated")</f>
        <v>262</v>
      </c>
      <c r="O8" s="21" t="s">
        <v>127</v>
      </c>
      <c r="P8" s="12" t="s">
        <v>21</v>
      </c>
      <c r="Q8" s="21">
        <v>67.0</v>
      </c>
      <c r="R8" s="36" t="b">
        <f>IF(AND(Cleaned_Data!I8="Interested",Cleaned_Data!G8="Not Responded"),"Interested but not responded")</f>
        <v>0</v>
      </c>
      <c r="U8" s="31" t="s">
        <v>127</v>
      </c>
      <c r="V8" s="31" t="s">
        <v>21</v>
      </c>
      <c r="W8" s="40" t="s">
        <v>66</v>
      </c>
      <c r="X8" s="31" t="str">
        <f t="shared" si="1"/>
        <v>Interested but not responded</v>
      </c>
    </row>
    <row r="9" ht="14.25" customHeight="1">
      <c r="B9" s="42" t="s">
        <v>38</v>
      </c>
      <c r="C9" s="42">
        <f>COUNTIF(Cleaned_Data!E4:E38,'Working sheet 2'!B9)</f>
        <v>5</v>
      </c>
      <c r="E9" s="43" t="s">
        <v>27</v>
      </c>
      <c r="F9" s="43">
        <f>COUNTIF(Cleaned_Data!G4:G38,'Working sheet 2'!E9)</f>
        <v>2</v>
      </c>
      <c r="H9" s="41" t="s">
        <v>43</v>
      </c>
      <c r="I9" s="44">
        <f>COUNTIFS(Cleaned_Data!E:E,'Working sheet 2'!H9,Cleaned_Data!G:G,"Closed")/COUNTIF(Cleaned_Data!E:E,'Working sheet 2'!H9)</f>
        <v>0.1818181818</v>
      </c>
      <c r="K9" s="46" t="s">
        <v>23</v>
      </c>
      <c r="L9" s="47">
        <f>IFERROR(TODAY()-Cleaned_Data!H4,"not_updated")</f>
        <v>263</v>
      </c>
      <c r="O9" s="21" t="s">
        <v>128</v>
      </c>
      <c r="P9" s="12" t="s">
        <v>45</v>
      </c>
      <c r="Q9" s="21">
        <v>74.0</v>
      </c>
      <c r="R9" s="36" t="b">
        <f>IF(AND(Cleaned_Data!I9="Interested",Cleaned_Data!G9="Not Responded"),"Interested but not responded")</f>
        <v>0</v>
      </c>
      <c r="U9" s="31" t="s">
        <v>128</v>
      </c>
      <c r="V9" s="31" t="s">
        <v>45</v>
      </c>
      <c r="W9" s="40" t="s">
        <v>46</v>
      </c>
      <c r="X9" s="31" t="str">
        <f t="shared" si="1"/>
        <v>Nil</v>
      </c>
    </row>
    <row r="10" ht="14.25" customHeight="1">
      <c r="B10" s="42" t="s">
        <v>43</v>
      </c>
      <c r="C10" s="42">
        <f>COUNTIF(Cleaned_Data!E5:E39,'Working sheet 2'!B10)</f>
        <v>11</v>
      </c>
      <c r="E10" s="43" t="s">
        <v>35</v>
      </c>
      <c r="F10" s="43">
        <f>COUNTIF(Cleaned_Data!G5:G39,'Working sheet 2'!E10)</f>
        <v>9</v>
      </c>
      <c r="H10" s="41" t="s">
        <v>54</v>
      </c>
      <c r="I10" s="44">
        <f>COUNTIFS(Cleaned_Data!E:E,'Working sheet 2'!H10,Cleaned_Data!G:G,"Closed")/COUNTIF(Cleaned_Data!E:E,'Working sheet 2'!H10)</f>
        <v>0.6666666667</v>
      </c>
      <c r="K10" s="46" t="s">
        <v>29</v>
      </c>
      <c r="L10" s="47">
        <f>IFERROR(TODAY()-Cleaned_Data!H5,"not_updated")</f>
        <v>258</v>
      </c>
      <c r="O10" s="21" t="s">
        <v>130</v>
      </c>
      <c r="P10" s="12" t="s">
        <v>35</v>
      </c>
      <c r="Q10" s="21">
        <v>70.0</v>
      </c>
      <c r="R10" s="36" t="b">
        <f>IF(AND(Cleaned_Data!I10="Interested",Cleaned_Data!G10="Not Responded"),"Interested but not responded")</f>
        <v>0</v>
      </c>
      <c r="U10" s="31" t="s">
        <v>130</v>
      </c>
      <c r="V10" s="31" t="s">
        <v>35</v>
      </c>
      <c r="W10" s="40" t="s">
        <v>46</v>
      </c>
      <c r="X10" s="31" t="str">
        <f t="shared" si="1"/>
        <v>Nil</v>
      </c>
    </row>
    <row r="11" ht="14.25" customHeight="1">
      <c r="B11" s="42" t="s">
        <v>54</v>
      </c>
      <c r="C11" s="42">
        <f>COUNTIF(Cleaned_Data!E6:E40,'Working sheet 2'!B11)</f>
        <v>3</v>
      </c>
      <c r="E11" s="43" t="s">
        <v>45</v>
      </c>
      <c r="F11" s="43">
        <f>COUNTIF(Cleaned_Data!G6:G40,'Working sheet 2'!E11)</f>
        <v>8</v>
      </c>
      <c r="I11" s="48"/>
      <c r="K11" s="46" t="s">
        <v>10</v>
      </c>
      <c r="L11" s="47">
        <f>IFERROR(TODAY()-Cleaned_Data!H6,"not_updated")</f>
        <v>258</v>
      </c>
      <c r="O11" s="21" t="s">
        <v>131</v>
      </c>
      <c r="P11" s="12" t="s">
        <v>45</v>
      </c>
      <c r="Q11" s="21">
        <v>74.0</v>
      </c>
      <c r="R11" s="36" t="b">
        <f>IF(AND(Cleaned_Data!I11="Interested",Cleaned_Data!G11="Not Responded"),"Interested but not responded")</f>
        <v>0</v>
      </c>
      <c r="U11" s="31" t="s">
        <v>131</v>
      </c>
      <c r="V11" s="31" t="s">
        <v>45</v>
      </c>
      <c r="W11" s="40" t="s">
        <v>52</v>
      </c>
      <c r="X11" s="31" t="str">
        <f t="shared" si="1"/>
        <v>Nil</v>
      </c>
    </row>
    <row r="12" ht="14.25" customHeight="1">
      <c r="K12" s="46" t="s">
        <v>36</v>
      </c>
      <c r="L12" s="47">
        <f>IFERROR(TODAY()-Cleaned_Data!H7,"not_updated")</f>
        <v>256</v>
      </c>
      <c r="O12" s="21" t="s">
        <v>132</v>
      </c>
      <c r="P12" s="12" t="s">
        <v>27</v>
      </c>
      <c r="Q12" s="21">
        <v>76.0</v>
      </c>
      <c r="R12" s="36" t="b">
        <f>IF(AND(Cleaned_Data!I12="Interested",Cleaned_Data!G12="Not Responded"),"Interested but not responded")</f>
        <v>0</v>
      </c>
      <c r="U12" s="31" t="s">
        <v>132</v>
      </c>
      <c r="V12" s="31" t="s">
        <v>27</v>
      </c>
      <c r="W12" s="40" t="s">
        <v>52</v>
      </c>
      <c r="X12" s="31" t="str">
        <f t="shared" si="1"/>
        <v>Nil</v>
      </c>
    </row>
    <row r="13" ht="14.25" customHeight="1">
      <c r="K13" s="46" t="s">
        <v>41</v>
      </c>
      <c r="L13" s="47">
        <f>IFERROR(TODAY()-Cleaned_Data!H8,"not_updated")</f>
        <v>263</v>
      </c>
      <c r="O13" s="21" t="s">
        <v>133</v>
      </c>
      <c r="P13" s="12" t="s">
        <v>14</v>
      </c>
      <c r="Q13" s="21">
        <v>76.0</v>
      </c>
      <c r="R13" s="36" t="b">
        <f>IF(AND(Cleaned_Data!I13="Interested",Cleaned_Data!G13="Not Responded"),"Interested but not responded")</f>
        <v>0</v>
      </c>
      <c r="U13" s="31" t="s">
        <v>133</v>
      </c>
      <c r="V13" s="31" t="s">
        <v>14</v>
      </c>
      <c r="W13" s="40" t="s">
        <v>46</v>
      </c>
      <c r="X13" s="31" t="str">
        <f t="shared" si="1"/>
        <v>Nil</v>
      </c>
    </row>
    <row r="14" ht="14.25" customHeight="1">
      <c r="K14" s="46" t="s">
        <v>47</v>
      </c>
      <c r="L14" s="47">
        <f>IFERROR(TODAY()-Cleaned_Data!H9,"not_updated")</f>
        <v>259</v>
      </c>
      <c r="O14" s="21" t="s">
        <v>134</v>
      </c>
      <c r="P14" s="12" t="s">
        <v>45</v>
      </c>
      <c r="Q14" s="21">
        <v>75.0</v>
      </c>
      <c r="R14" s="36" t="b">
        <f>IF(AND(Cleaned_Data!I14="Interested",Cleaned_Data!G14="Not Responded"),"Interested but not responded")</f>
        <v>0</v>
      </c>
      <c r="U14" s="31" t="s">
        <v>134</v>
      </c>
      <c r="V14" s="31" t="s">
        <v>45</v>
      </c>
      <c r="W14" s="40" t="s">
        <v>32</v>
      </c>
      <c r="X14" s="31" t="str">
        <f t="shared" si="1"/>
        <v>Nil</v>
      </c>
    </row>
    <row r="15" ht="14.25" customHeight="1">
      <c r="K15" s="46" t="s">
        <v>50</v>
      </c>
      <c r="L15" s="47">
        <f>IFERROR(TODAY()-Cleaned_Data!H10,"not_updated")</f>
        <v>263</v>
      </c>
      <c r="O15" s="21" t="s">
        <v>135</v>
      </c>
      <c r="P15" s="12" t="s">
        <v>35</v>
      </c>
      <c r="Q15" s="21">
        <v>74.0</v>
      </c>
      <c r="R15" s="36" t="b">
        <f>IF(AND(Cleaned_Data!I15="Interested",Cleaned_Data!G15="Not Responded"),"Interested but not responded")</f>
        <v>0</v>
      </c>
      <c r="U15" s="31" t="s">
        <v>135</v>
      </c>
      <c r="V15" s="31" t="s">
        <v>35</v>
      </c>
      <c r="W15" s="40" t="s">
        <v>52</v>
      </c>
      <c r="X15" s="31" t="str">
        <f t="shared" si="1"/>
        <v>Nil</v>
      </c>
    </row>
    <row r="16" ht="14.25" customHeight="1">
      <c r="E16" s="48"/>
      <c r="K16" s="46" t="s">
        <v>47</v>
      </c>
      <c r="L16" s="47">
        <f>IFERROR(TODAY()-Cleaned_Data!H11,"not_updated")</f>
        <v>265</v>
      </c>
      <c r="O16" s="21" t="s">
        <v>136</v>
      </c>
      <c r="P16" s="12" t="s">
        <v>14</v>
      </c>
      <c r="Q16" s="21">
        <v>74.0</v>
      </c>
      <c r="R16" s="36" t="b">
        <f>IF(AND(Cleaned_Data!I16="Interested",Cleaned_Data!G16="Not Responded"),"Interested but not responded")</f>
        <v>0</v>
      </c>
      <c r="U16" s="31" t="s">
        <v>136</v>
      </c>
      <c r="V16" s="31" t="s">
        <v>14</v>
      </c>
      <c r="W16" s="40" t="s">
        <v>52</v>
      </c>
      <c r="X16" s="31" t="str">
        <f t="shared" si="1"/>
        <v>Nil</v>
      </c>
    </row>
    <row r="17" ht="14.25" customHeight="1">
      <c r="E17" s="48"/>
      <c r="K17" s="46" t="s">
        <v>29</v>
      </c>
      <c r="L17" s="47">
        <f>IFERROR(TODAY()-Cleaned_Data!H12,"not_updated")</f>
        <v>265</v>
      </c>
      <c r="O17" s="21" t="s">
        <v>137</v>
      </c>
      <c r="P17" s="12" t="s">
        <v>35</v>
      </c>
      <c r="Q17" s="21">
        <v>70.0</v>
      </c>
      <c r="R17" s="36" t="b">
        <f>IF(AND(Cleaned_Data!I17="Interested",Cleaned_Data!G17="Not Responded"),"Interested but not responded")</f>
        <v>0</v>
      </c>
      <c r="U17" s="31" t="s">
        <v>137</v>
      </c>
      <c r="V17" s="31" t="s">
        <v>35</v>
      </c>
      <c r="W17" s="40" t="s">
        <v>66</v>
      </c>
      <c r="X17" s="31" t="str">
        <f t="shared" si="1"/>
        <v>Nil</v>
      </c>
    </row>
    <row r="18" ht="14.25" customHeight="1">
      <c r="E18" s="48"/>
      <c r="K18" s="46" t="s">
        <v>29</v>
      </c>
      <c r="L18" s="47">
        <f>IFERROR(TODAY()-Cleaned_Data!H13,"not_updated")</f>
        <v>264</v>
      </c>
      <c r="O18" s="21" t="s">
        <v>138</v>
      </c>
      <c r="P18" s="12" t="s">
        <v>21</v>
      </c>
      <c r="Q18" s="21">
        <v>74.0</v>
      </c>
      <c r="R18" s="36" t="b">
        <f>IF(AND(Cleaned_Data!I18="Interested",Cleaned_Data!G18="Not Responded"),"Interested but not responded")</f>
        <v>0</v>
      </c>
      <c r="U18" s="31" t="s">
        <v>138</v>
      </c>
      <c r="V18" s="31" t="s">
        <v>21</v>
      </c>
      <c r="W18" s="40" t="s">
        <v>32</v>
      </c>
      <c r="X18" s="31" t="str">
        <f t="shared" si="1"/>
        <v>Nil</v>
      </c>
    </row>
    <row r="19" ht="14.25" customHeight="1">
      <c r="E19" s="48"/>
      <c r="K19" s="46" t="s">
        <v>10</v>
      </c>
      <c r="L19" s="47">
        <f>IFERROR(TODAY()-Cleaned_Data!H14,"not_updated")</f>
        <v>263</v>
      </c>
      <c r="O19" s="21" t="s">
        <v>139</v>
      </c>
      <c r="P19" s="12" t="s">
        <v>14</v>
      </c>
      <c r="Q19" s="21">
        <v>76.0</v>
      </c>
      <c r="R19" s="36" t="b">
        <f>IF(AND(Cleaned_Data!I19="Interested",Cleaned_Data!G19="Not Responded"),"Interested but not responded")</f>
        <v>0</v>
      </c>
      <c r="U19" s="31" t="s">
        <v>139</v>
      </c>
      <c r="V19" s="31" t="s">
        <v>14</v>
      </c>
      <c r="W19" s="40" t="s">
        <v>101</v>
      </c>
      <c r="X19" s="31" t="str">
        <f t="shared" si="1"/>
        <v>Nil</v>
      </c>
    </row>
    <row r="20" ht="14.25" customHeight="1">
      <c r="E20" s="48"/>
      <c r="K20" s="46" t="s">
        <v>62</v>
      </c>
      <c r="L20" s="47">
        <f>IFERROR(TODAY()-Cleaned_Data!H15,"not_updated")</f>
        <v>263</v>
      </c>
      <c r="O20" s="21" t="s">
        <v>140</v>
      </c>
      <c r="P20" s="12" t="s">
        <v>45</v>
      </c>
      <c r="Q20" s="21">
        <v>71.0</v>
      </c>
      <c r="R20" s="36" t="b">
        <f>IF(AND(Cleaned_Data!I20="Interested",Cleaned_Data!G20="Not Responded"),"Interested but not responded")</f>
        <v>0</v>
      </c>
      <c r="U20" s="31" t="s">
        <v>140</v>
      </c>
      <c r="V20" s="31" t="s">
        <v>45</v>
      </c>
      <c r="W20" s="40" t="s">
        <v>32</v>
      </c>
      <c r="X20" s="31" t="str">
        <f t="shared" si="1"/>
        <v>Nil</v>
      </c>
    </row>
    <row r="21" ht="14.25" customHeight="1">
      <c r="E21" s="48"/>
      <c r="K21" s="46" t="s">
        <v>47</v>
      </c>
      <c r="L21" s="47">
        <f>IFERROR(TODAY()-Cleaned_Data!H16,"not_updated")</f>
        <v>259</v>
      </c>
      <c r="O21" s="21" t="s">
        <v>141</v>
      </c>
      <c r="P21" s="12" t="s">
        <v>21</v>
      </c>
      <c r="Q21" s="21">
        <v>67.0</v>
      </c>
      <c r="R21" s="36" t="b">
        <f>IF(AND(Cleaned_Data!I21="Interested",Cleaned_Data!G21="Not Responded"),"Interested but not responded")</f>
        <v>0</v>
      </c>
      <c r="U21" s="31" t="s">
        <v>141</v>
      </c>
      <c r="V21" s="31" t="s">
        <v>21</v>
      </c>
      <c r="W21" s="40" t="s">
        <v>32</v>
      </c>
      <c r="X21" s="31" t="str">
        <f t="shared" si="1"/>
        <v>Nil</v>
      </c>
    </row>
    <row r="22" ht="14.25" customHeight="1">
      <c r="E22" s="48"/>
      <c r="K22" s="46" t="s">
        <v>67</v>
      </c>
      <c r="L22" s="47">
        <f>IFERROR(TODAY()-Cleaned_Data!H17,"not_updated")</f>
        <v>263</v>
      </c>
      <c r="O22" s="21" t="s">
        <v>142</v>
      </c>
      <c r="P22" s="12" t="s">
        <v>14</v>
      </c>
      <c r="Q22" s="21" t="s">
        <v>168</v>
      </c>
      <c r="R22" s="36" t="b">
        <f>IF(AND(Cleaned_Data!I22="Interested",Cleaned_Data!G22="Not Responded"),"Interested but not responded")</f>
        <v>0</v>
      </c>
      <c r="U22" s="31" t="s">
        <v>142</v>
      </c>
      <c r="V22" s="31" t="s">
        <v>14</v>
      </c>
      <c r="W22" s="40" t="s">
        <v>32</v>
      </c>
      <c r="X22" s="31" t="str">
        <f t="shared" si="1"/>
        <v>Nil</v>
      </c>
    </row>
    <row r="23" ht="14.25" customHeight="1">
      <c r="K23" s="46" t="s">
        <v>67</v>
      </c>
      <c r="L23" s="47">
        <f>IFERROR(TODAY()-Cleaned_Data!H18,"not_updated")</f>
        <v>265</v>
      </c>
      <c r="O23" s="21" t="s">
        <v>143</v>
      </c>
      <c r="P23" s="12" t="s">
        <v>35</v>
      </c>
      <c r="Q23" s="21">
        <v>77.0</v>
      </c>
      <c r="R23" s="36" t="b">
        <f>IF(AND(Cleaned_Data!I23="Interested",Cleaned_Data!G23="Not Responded"),"Interested but not responded")</f>
        <v>0</v>
      </c>
      <c r="U23" s="31" t="s">
        <v>143</v>
      </c>
      <c r="V23" s="31" t="s">
        <v>35</v>
      </c>
      <c r="W23" s="40" t="s">
        <v>52</v>
      </c>
      <c r="X23" s="31" t="str">
        <f t="shared" si="1"/>
        <v>Nil</v>
      </c>
    </row>
    <row r="24" ht="14.25" customHeight="1">
      <c r="K24" s="46" t="s">
        <v>29</v>
      </c>
      <c r="L24" s="47">
        <f>IFERROR(TODAY()-Cleaned_Data!H19,"not_updated")</f>
        <v>260</v>
      </c>
      <c r="O24" s="21" t="s">
        <v>144</v>
      </c>
      <c r="P24" s="12" t="s">
        <v>45</v>
      </c>
      <c r="Q24" s="21">
        <v>77.0</v>
      </c>
      <c r="R24" s="36" t="b">
        <f>IF(AND(Cleaned_Data!I24="Interested",Cleaned_Data!G24="Not Responded"),"Interested but not responded")</f>
        <v>0</v>
      </c>
      <c r="U24" s="31" t="s">
        <v>144</v>
      </c>
      <c r="V24" s="31" t="s">
        <v>45</v>
      </c>
      <c r="W24" s="40" t="s">
        <v>32</v>
      </c>
      <c r="X24" s="31" t="str">
        <f t="shared" si="1"/>
        <v>Nil</v>
      </c>
    </row>
    <row r="25" ht="14.25" customHeight="1">
      <c r="K25" s="46" t="s">
        <v>72</v>
      </c>
      <c r="L25" s="47">
        <f>IFERROR(TODAY()-Cleaned_Data!H20,"not_updated")</f>
        <v>256</v>
      </c>
      <c r="O25" s="21" t="s">
        <v>145</v>
      </c>
      <c r="P25" s="12" t="s">
        <v>35</v>
      </c>
      <c r="Q25" s="21">
        <v>69.0</v>
      </c>
      <c r="R25" s="36" t="b">
        <f>IF(AND(Cleaned_Data!I25="Interested",Cleaned_Data!G25="Not Responded"),"Interested but not responded")</f>
        <v>0</v>
      </c>
      <c r="U25" s="31" t="s">
        <v>145</v>
      </c>
      <c r="V25" s="31" t="s">
        <v>35</v>
      </c>
      <c r="W25" s="40" t="s">
        <v>52</v>
      </c>
      <c r="X25" s="31" t="str">
        <f t="shared" si="1"/>
        <v>Nil</v>
      </c>
    </row>
    <row r="26" ht="14.25" customHeight="1">
      <c r="K26" s="46" t="s">
        <v>74</v>
      </c>
      <c r="L26" s="47" t="str">
        <f>IFERROR(TODAY()-Cleaned_Data!H21,"not_updated")</f>
        <v>not_updated</v>
      </c>
      <c r="O26" s="21" t="s">
        <v>146</v>
      </c>
      <c r="P26" s="12" t="s">
        <v>35</v>
      </c>
      <c r="Q26" s="21">
        <v>71.0</v>
      </c>
      <c r="R26" s="36" t="b">
        <f>IF(AND(Cleaned_Data!I26="Interested",Cleaned_Data!G26="Not Responded"),"Interested but not responded")</f>
        <v>0</v>
      </c>
      <c r="U26" s="31" t="s">
        <v>146</v>
      </c>
      <c r="V26" s="31" t="s">
        <v>35</v>
      </c>
      <c r="W26" s="40" t="s">
        <v>66</v>
      </c>
      <c r="X26" s="31" t="str">
        <f t="shared" si="1"/>
        <v>Nil</v>
      </c>
    </row>
    <row r="27" ht="14.25" customHeight="1">
      <c r="K27" s="46" t="s">
        <v>77</v>
      </c>
      <c r="L27" s="47">
        <f>IFERROR(TODAY()-Cleaned_Data!H22,"not_updated")</f>
        <v>266</v>
      </c>
      <c r="O27" s="21" t="s">
        <v>147</v>
      </c>
      <c r="P27" s="12" t="s">
        <v>14</v>
      </c>
      <c r="Q27" s="21">
        <v>70.0</v>
      </c>
      <c r="R27" s="36" t="b">
        <f>IF(AND(Cleaned_Data!I27="Interested",Cleaned_Data!G27="Not Responded"),"Interested but not responded")</f>
        <v>0</v>
      </c>
      <c r="U27" s="31" t="s">
        <v>147</v>
      </c>
      <c r="V27" s="31" t="s">
        <v>14</v>
      </c>
      <c r="W27" s="40" t="s">
        <v>46</v>
      </c>
      <c r="X27" s="31" t="str">
        <f t="shared" si="1"/>
        <v>Nil</v>
      </c>
    </row>
    <row r="28" ht="14.25" customHeight="1">
      <c r="K28" s="46" t="s">
        <v>17</v>
      </c>
      <c r="L28" s="47">
        <f>IFERROR(TODAY()-Cleaned_Data!H23,"not_updated")</f>
        <v>266</v>
      </c>
      <c r="O28" s="21" t="s">
        <v>148</v>
      </c>
      <c r="P28" s="12" t="s">
        <v>45</v>
      </c>
      <c r="Q28" s="21">
        <v>67.0</v>
      </c>
      <c r="R28" s="36" t="b">
        <f>IF(AND(Cleaned_Data!I28="Interested",Cleaned_Data!G28="Not Responded"),"Interested but not responded")</f>
        <v>0</v>
      </c>
      <c r="U28" s="31" t="s">
        <v>148</v>
      </c>
      <c r="V28" s="31" t="s">
        <v>45</v>
      </c>
      <c r="W28" s="40" t="s">
        <v>101</v>
      </c>
      <c r="X28" s="31" t="str">
        <f t="shared" si="1"/>
        <v>Nil</v>
      </c>
    </row>
    <row r="29" ht="14.25" customHeight="1">
      <c r="K29" s="46" t="s">
        <v>72</v>
      </c>
      <c r="L29" s="47">
        <f>IFERROR(TODAY()-Cleaned_Data!H24,"not_updated")</f>
        <v>258</v>
      </c>
      <c r="O29" s="21" t="s">
        <v>149</v>
      </c>
      <c r="P29" s="12" t="s">
        <v>35</v>
      </c>
      <c r="Q29" s="21">
        <v>73.0</v>
      </c>
      <c r="R29" s="36" t="b">
        <f>IF(AND(Cleaned_Data!I29="Interested",Cleaned_Data!G29="Not Responded"),"Interested but not responded")</f>
        <v>0</v>
      </c>
      <c r="U29" s="31" t="s">
        <v>149</v>
      </c>
      <c r="V29" s="31" t="s">
        <v>35</v>
      </c>
      <c r="W29" s="40" t="s">
        <v>52</v>
      </c>
      <c r="X29" s="31" t="str">
        <f t="shared" si="1"/>
        <v>Nil</v>
      </c>
    </row>
    <row r="30" ht="14.25" customHeight="1">
      <c r="K30" s="46" t="s">
        <v>41</v>
      </c>
      <c r="L30" s="47">
        <f>IFERROR(TODAY()-Cleaned_Data!H25,"not_updated")</f>
        <v>260</v>
      </c>
      <c r="O30" s="21" t="s">
        <v>150</v>
      </c>
      <c r="P30" s="12" t="s">
        <v>14</v>
      </c>
      <c r="Q30" s="21">
        <v>71.0</v>
      </c>
      <c r="R30" s="36" t="b">
        <f>IF(AND(Cleaned_Data!I30="Interested",Cleaned_Data!G30="Not Responded"),"Interested but not responded")</f>
        <v>0</v>
      </c>
      <c r="U30" s="31" t="s">
        <v>150</v>
      </c>
      <c r="V30" s="31" t="s">
        <v>14</v>
      </c>
      <c r="W30" s="40" t="s">
        <v>46</v>
      </c>
      <c r="X30" s="31" t="str">
        <f t="shared" si="1"/>
        <v>Nil</v>
      </c>
    </row>
    <row r="31" ht="14.25" customHeight="1">
      <c r="K31" s="46" t="s">
        <v>72</v>
      </c>
      <c r="L31" s="47">
        <f>IFERROR(TODAY()-Cleaned_Data!H26,"not_updated")</f>
        <v>259</v>
      </c>
      <c r="O31" s="21" t="s">
        <v>151</v>
      </c>
      <c r="P31" s="12" t="s">
        <v>14</v>
      </c>
      <c r="Q31" s="21">
        <v>70.0</v>
      </c>
      <c r="R31" s="36" t="b">
        <f>IF(AND(Cleaned_Data!I31="Interested",Cleaned_Data!G31="Not Responded"),"Interested but not responded")</f>
        <v>0</v>
      </c>
      <c r="U31" s="31" t="s">
        <v>151</v>
      </c>
      <c r="V31" s="31" t="s">
        <v>14</v>
      </c>
      <c r="W31" s="40" t="s">
        <v>66</v>
      </c>
      <c r="X31" s="31" t="str">
        <f t="shared" si="1"/>
        <v>Nil</v>
      </c>
    </row>
    <row r="32" ht="14.25" customHeight="1">
      <c r="K32" s="46" t="s">
        <v>84</v>
      </c>
      <c r="L32" s="47">
        <f>IFERROR(TODAY()-Cleaned_Data!H27,"not_updated")</f>
        <v>256</v>
      </c>
      <c r="O32" s="21" t="s">
        <v>152</v>
      </c>
      <c r="P32" s="12" t="s">
        <v>45</v>
      </c>
      <c r="Q32" s="21">
        <v>69.0</v>
      </c>
      <c r="R32" s="36" t="str">
        <f>IF(AND(Cleaned_Data!I32="Interested",Cleaned_Data!G32="Not Responded"),"Interested but not responded")</f>
        <v>Interested but not responded</v>
      </c>
      <c r="U32" s="31" t="s">
        <v>152</v>
      </c>
      <c r="V32" s="31" t="s">
        <v>45</v>
      </c>
      <c r="W32" s="40" t="s">
        <v>52</v>
      </c>
      <c r="X32" s="31" t="str">
        <f t="shared" si="1"/>
        <v>Nil</v>
      </c>
    </row>
    <row r="33" ht="14.25" customHeight="1">
      <c r="K33" s="46" t="s">
        <v>36</v>
      </c>
      <c r="L33" s="47">
        <f>IFERROR(TODAY()-Cleaned_Data!H28,"not_updated")</f>
        <v>262</v>
      </c>
      <c r="O33" s="21" t="s">
        <v>153</v>
      </c>
      <c r="P33" s="12" t="s">
        <v>21</v>
      </c>
      <c r="Q33" s="21">
        <v>74.0</v>
      </c>
      <c r="R33" s="36" t="b">
        <f>IF(AND(Cleaned_Data!I33="Interested",Cleaned_Data!G33="Not Responded"),"Interested but not responded")</f>
        <v>0</v>
      </c>
      <c r="U33" s="31" t="s">
        <v>153</v>
      </c>
      <c r="V33" s="31" t="s">
        <v>21</v>
      </c>
      <c r="W33" s="40" t="s">
        <v>66</v>
      </c>
      <c r="X33" s="31" t="str">
        <f t="shared" si="1"/>
        <v>Interested but not responded</v>
      </c>
    </row>
    <row r="34" ht="14.25" customHeight="1">
      <c r="K34" s="46" t="s">
        <v>50</v>
      </c>
      <c r="L34" s="47">
        <f>IFERROR(TODAY()-Cleaned_Data!H29,"not_updated")</f>
        <v>260</v>
      </c>
      <c r="O34" s="21" t="s">
        <v>154</v>
      </c>
      <c r="P34" s="12" t="s">
        <v>45</v>
      </c>
      <c r="Q34" s="21" t="s">
        <v>168</v>
      </c>
      <c r="R34" s="36" t="b">
        <f>IF(AND(Cleaned_Data!I34="Interested",Cleaned_Data!G34="Not Responded"),"Interested but not responded")</f>
        <v>0</v>
      </c>
      <c r="U34" s="31" t="s">
        <v>154</v>
      </c>
      <c r="V34" s="31" t="s">
        <v>45</v>
      </c>
      <c r="W34" s="40" t="s">
        <v>66</v>
      </c>
      <c r="X34" s="31" t="str">
        <f t="shared" si="1"/>
        <v>Nil</v>
      </c>
    </row>
    <row r="35" ht="14.25" customHeight="1">
      <c r="K35" s="46" t="s">
        <v>50</v>
      </c>
      <c r="L35" s="47">
        <f>IFERROR(TODAY()-Cleaned_Data!H30,"not_updated")</f>
        <v>259</v>
      </c>
      <c r="O35" s="21" t="s">
        <v>155</v>
      </c>
      <c r="P35" s="12" t="s">
        <v>35</v>
      </c>
      <c r="Q35" s="21">
        <v>76.0</v>
      </c>
      <c r="R35" s="36" t="b">
        <f>IF(AND(Cleaned_Data!I35="Interested",Cleaned_Data!G35="Not Responded"),"Interested but not responded")</f>
        <v>0</v>
      </c>
      <c r="U35" s="31" t="s">
        <v>155</v>
      </c>
      <c r="V35" s="31" t="s">
        <v>35</v>
      </c>
      <c r="W35" s="40" t="s">
        <v>66</v>
      </c>
      <c r="X35" s="31" t="str">
        <f t="shared" si="1"/>
        <v>Nil</v>
      </c>
    </row>
    <row r="36" ht="14.25" customHeight="1">
      <c r="K36" s="46" t="s">
        <v>67</v>
      </c>
      <c r="L36" s="47">
        <f>IFERROR(TODAY()-Cleaned_Data!H31,"not_updated")</f>
        <v>258</v>
      </c>
      <c r="O36" s="21" t="s">
        <v>156</v>
      </c>
      <c r="P36" s="12" t="s">
        <v>14</v>
      </c>
      <c r="Q36" s="21">
        <v>69.0</v>
      </c>
      <c r="R36" s="36" t="b">
        <f>IF(AND(Cleaned_Data!I36="Interested",Cleaned_Data!G36="Not Responded"),"Interested but not responded")</f>
        <v>0</v>
      </c>
      <c r="U36" s="31" t="s">
        <v>156</v>
      </c>
      <c r="V36" s="31" t="s">
        <v>14</v>
      </c>
      <c r="W36" s="40" t="s">
        <v>46</v>
      </c>
      <c r="X36" s="31" t="str">
        <f t="shared" si="1"/>
        <v>Nil</v>
      </c>
    </row>
    <row r="37" ht="14.25" customHeight="1">
      <c r="K37" s="46" t="s">
        <v>90</v>
      </c>
      <c r="L37" s="47">
        <f>IFERROR(TODAY()-Cleaned_Data!H32,"not_updated")</f>
        <v>263</v>
      </c>
      <c r="O37" s="21" t="s">
        <v>157</v>
      </c>
      <c r="P37" s="17" t="s">
        <v>21</v>
      </c>
      <c r="Q37" s="21" t="s">
        <v>168</v>
      </c>
      <c r="R37" s="36" t="b">
        <f>IF(AND(Cleaned_Data!I37="Interested",Cleaned_Data!G37="Not Responded"),"Interested but not responded")</f>
        <v>0</v>
      </c>
      <c r="U37" s="31" t="s">
        <v>157</v>
      </c>
      <c r="V37" s="31" t="s">
        <v>21</v>
      </c>
      <c r="W37" s="40" t="s">
        <v>52</v>
      </c>
      <c r="X37" s="31" t="str">
        <f t="shared" si="1"/>
        <v>Nil</v>
      </c>
    </row>
    <row r="38" ht="14.25" customHeight="1">
      <c r="K38" s="46" t="s">
        <v>41</v>
      </c>
      <c r="L38" s="47" t="str">
        <f>IFERROR(TODAY()-Cleaned_Data!H33,"not_updated")</f>
        <v>not_updated</v>
      </c>
      <c r="R38" s="36" t="b">
        <f>IF(AND(Cleaned_Data!I38="Interested",Cleaned_Data!G38="Not Responded"),"Interested but not responded")</f>
        <v>0</v>
      </c>
    </row>
    <row r="39" ht="14.25" customHeight="1">
      <c r="K39" s="46" t="s">
        <v>67</v>
      </c>
      <c r="L39" s="47">
        <f>IFERROR(TODAY()-Cleaned_Data!H34,"not_updated")</f>
        <v>265</v>
      </c>
      <c r="R39" s="36" t="b">
        <f>IF(AND(Cleaned_Data!I39="Interested",Cleaned_Data!G39="Not Responded"),"Interested but not responded")</f>
        <v>0</v>
      </c>
    </row>
    <row r="40" ht="14.25" customHeight="1">
      <c r="K40" s="46" t="s">
        <v>94</v>
      </c>
      <c r="L40" s="47">
        <f>IFERROR(TODAY()-Cleaned_Data!H35,"not_updated")</f>
        <v>258</v>
      </c>
      <c r="R40" s="36" t="b">
        <f>IF(AND(Cleaned_Data!I40="Interested",Cleaned_Data!G40="Not Responded"),"Interested but not responded")</f>
        <v>0</v>
      </c>
    </row>
    <row r="41" ht="14.25" customHeight="1">
      <c r="K41" s="46" t="s">
        <v>96</v>
      </c>
      <c r="L41" s="47" t="str">
        <f>IFERROR(TODAY()-Cleaned_Data!H36,"not_updated")</f>
        <v>not_updated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J2"/>
    <mergeCell ref="B4:C4"/>
    <mergeCell ref="E4:F4"/>
    <mergeCell ref="H4:I4"/>
    <mergeCell ref="K4:L4"/>
  </mergeCells>
  <conditionalFormatting sqref="O3:O37">
    <cfRule type="expression" dxfId="6" priority="1">
      <formula>IF(P3="Pending",L7&gt;5)</formula>
    </cfRule>
  </conditionalFormatting>
  <conditionalFormatting sqref="T18">
    <cfRule type="expression" dxfId="7" priority="2">
      <formula>IF($P$3="Pending",$L$7&gt;5)</formula>
    </cfRule>
  </conditionalFormatting>
  <conditionalFormatting sqref="U3:U37">
    <cfRule type="expression" dxfId="8" priority="3">
      <formula>IF(W3="Interested",V3="Not Responded")</formula>
    </cfRule>
  </conditionalFormatting>
  <dataValidations>
    <dataValidation type="list" allowBlank="1" showDropDown="1" showErrorMessage="1" sqref="P3:P37">
      <formula1>"Closed,Not Responded,Appointment Fixed,Contacted,Pending"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6.29"/>
    <col customWidth="1" min="3" max="3" width="16.71"/>
    <col customWidth="1" min="4" max="4" width="25.0"/>
    <col customWidth="1" min="5" max="5" width="8.71"/>
    <col customWidth="1" min="6" max="7" width="16.29"/>
    <col customWidth="1" min="8" max="8" width="8.71"/>
    <col customWidth="1" min="9" max="9" width="14.0"/>
    <col customWidth="1" min="10" max="10" width="22.29"/>
    <col customWidth="1" min="11" max="11" width="8.71"/>
    <col customWidth="1" min="12" max="12" width="25.29"/>
    <col customWidth="1" min="13" max="13" width="16.29"/>
    <col customWidth="1" min="14" max="14" width="22.29"/>
    <col customWidth="1" min="15" max="26" width="8.71"/>
  </cols>
  <sheetData>
    <row r="1" ht="14.25" customHeight="1">
      <c r="F1" s="49" t="s">
        <v>169</v>
      </c>
    </row>
    <row r="2" ht="14.25" customHeight="1"/>
    <row r="3" ht="14.25" customHeight="1">
      <c r="A3" s="50" t="s">
        <v>170</v>
      </c>
      <c r="B3" s="51"/>
      <c r="C3" s="51"/>
      <c r="F3" s="52" t="s">
        <v>161</v>
      </c>
      <c r="G3" s="53"/>
      <c r="I3" s="52" t="s">
        <v>159</v>
      </c>
      <c r="J3" s="53"/>
      <c r="L3" s="54" t="s">
        <v>158</v>
      </c>
      <c r="O3" s="55"/>
      <c r="P3" s="55"/>
    </row>
    <row r="4" ht="14.25" customHeight="1">
      <c r="A4" s="56" t="s">
        <v>98</v>
      </c>
      <c r="B4" s="57" t="s">
        <v>5</v>
      </c>
      <c r="C4" s="58" t="s">
        <v>7</v>
      </c>
      <c r="D4" s="59" t="s">
        <v>160</v>
      </c>
      <c r="F4" s="60" t="s">
        <v>3</v>
      </c>
      <c r="G4" s="60" t="s">
        <v>165</v>
      </c>
      <c r="I4" s="61" t="s">
        <v>167</v>
      </c>
      <c r="J4" s="61" t="s">
        <v>159</v>
      </c>
      <c r="L4" s="19" t="s">
        <v>98</v>
      </c>
      <c r="M4" s="35" t="s">
        <v>5</v>
      </c>
      <c r="N4" s="19" t="s">
        <v>159</v>
      </c>
    </row>
    <row r="5" ht="14.25" customHeight="1">
      <c r="A5" s="29" t="s">
        <v>121</v>
      </c>
      <c r="B5" s="29" t="s">
        <v>14</v>
      </c>
      <c r="C5" s="38" t="s">
        <v>101</v>
      </c>
      <c r="D5" s="29" t="str">
        <f t="shared" ref="D5:D39" si="1">IF(AND(C5="Interested",B5="Not Responded"),"Interested but not responded","Nil")</f>
        <v>Nil</v>
      </c>
      <c r="F5" s="31" t="s">
        <v>12</v>
      </c>
      <c r="G5" s="31">
        <v>10.0</v>
      </c>
      <c r="I5" s="62" t="s">
        <v>10</v>
      </c>
      <c r="J5" s="32">
        <v>69.0</v>
      </c>
      <c r="L5" s="21" t="s">
        <v>121</v>
      </c>
      <c r="M5" s="12" t="s">
        <v>14</v>
      </c>
      <c r="N5" s="63">
        <v>69.0</v>
      </c>
    </row>
    <row r="6" ht="14.25" customHeight="1">
      <c r="A6" s="31" t="s">
        <v>123</v>
      </c>
      <c r="B6" s="31" t="s">
        <v>21</v>
      </c>
      <c r="C6" s="40" t="s">
        <v>101</v>
      </c>
      <c r="D6" s="31" t="str">
        <f t="shared" si="1"/>
        <v>Nil</v>
      </c>
      <c r="F6" s="31" t="s">
        <v>19</v>
      </c>
      <c r="G6" s="31">
        <v>6.0</v>
      </c>
      <c r="I6" s="64" t="s">
        <v>17</v>
      </c>
      <c r="J6" s="32">
        <v>73.0</v>
      </c>
      <c r="L6" s="21" t="s">
        <v>123</v>
      </c>
      <c r="M6" s="12" t="s">
        <v>21</v>
      </c>
      <c r="N6" s="63">
        <v>73.0</v>
      </c>
    </row>
    <row r="7" ht="14.25" customHeight="1">
      <c r="A7" s="31" t="s">
        <v>124</v>
      </c>
      <c r="B7" s="31" t="s">
        <v>27</v>
      </c>
      <c r="C7" s="40" t="s">
        <v>101</v>
      </c>
      <c r="D7" s="31" t="str">
        <f t="shared" si="1"/>
        <v>Nil</v>
      </c>
      <c r="F7" s="31" t="s">
        <v>38</v>
      </c>
      <c r="G7" s="31">
        <v>5.0</v>
      </c>
      <c r="I7" s="62" t="s">
        <v>23</v>
      </c>
      <c r="J7" s="32">
        <v>74.0</v>
      </c>
      <c r="L7" s="21" t="s">
        <v>124</v>
      </c>
      <c r="M7" s="12" t="s">
        <v>27</v>
      </c>
      <c r="N7" s="63">
        <v>74.0</v>
      </c>
    </row>
    <row r="8" ht="14.25" customHeight="1">
      <c r="A8" s="31" t="s">
        <v>125</v>
      </c>
      <c r="B8" s="31" t="s">
        <v>14</v>
      </c>
      <c r="C8" s="40" t="s">
        <v>32</v>
      </c>
      <c r="D8" s="31" t="str">
        <f t="shared" si="1"/>
        <v>Nil</v>
      </c>
      <c r="F8" s="31" t="s">
        <v>43</v>
      </c>
      <c r="G8" s="31">
        <v>11.0</v>
      </c>
      <c r="I8" s="64" t="s">
        <v>29</v>
      </c>
      <c r="J8" s="32">
        <v>69.0</v>
      </c>
      <c r="L8" s="21" t="s">
        <v>125</v>
      </c>
      <c r="M8" s="12" t="s">
        <v>14</v>
      </c>
      <c r="N8" s="63">
        <v>69.0</v>
      </c>
    </row>
    <row r="9" ht="14.25" customHeight="1">
      <c r="A9" s="31" t="s">
        <v>126</v>
      </c>
      <c r="B9" s="31" t="s">
        <v>35</v>
      </c>
      <c r="C9" s="40" t="s">
        <v>101</v>
      </c>
      <c r="D9" s="31" t="str">
        <f t="shared" si="1"/>
        <v>Nil</v>
      </c>
      <c r="F9" s="31" t="s">
        <v>54</v>
      </c>
      <c r="G9" s="31">
        <v>3.0</v>
      </c>
      <c r="I9" s="62" t="s">
        <v>10</v>
      </c>
      <c r="J9" s="32">
        <v>69.0</v>
      </c>
      <c r="L9" s="21" t="s">
        <v>126</v>
      </c>
      <c r="M9" s="12" t="s">
        <v>35</v>
      </c>
      <c r="N9" s="63">
        <v>69.0</v>
      </c>
    </row>
    <row r="10" ht="14.25" customHeight="1">
      <c r="A10" s="31" t="s">
        <v>127</v>
      </c>
      <c r="B10" s="31" t="s">
        <v>21</v>
      </c>
      <c r="C10" s="40" t="s">
        <v>66</v>
      </c>
      <c r="D10" s="31" t="str">
        <f t="shared" si="1"/>
        <v>Interested but not responded</v>
      </c>
      <c r="I10" s="64" t="s">
        <v>36</v>
      </c>
      <c r="J10" s="32">
        <v>67.0</v>
      </c>
      <c r="L10" s="21" t="s">
        <v>127</v>
      </c>
      <c r="M10" s="12" t="s">
        <v>21</v>
      </c>
      <c r="N10" s="63">
        <v>67.0</v>
      </c>
    </row>
    <row r="11" ht="14.25" customHeight="1">
      <c r="A11" s="31" t="s">
        <v>128</v>
      </c>
      <c r="B11" s="31" t="s">
        <v>45</v>
      </c>
      <c r="C11" s="40" t="s">
        <v>46</v>
      </c>
      <c r="D11" s="31" t="str">
        <f t="shared" si="1"/>
        <v>Nil</v>
      </c>
      <c r="I11" s="62" t="s">
        <v>41</v>
      </c>
      <c r="J11" s="32">
        <v>74.0</v>
      </c>
      <c r="L11" s="21" t="s">
        <v>128</v>
      </c>
      <c r="M11" s="12" t="s">
        <v>45</v>
      </c>
      <c r="N11" s="63">
        <v>74.0</v>
      </c>
    </row>
    <row r="12" ht="14.25" customHeight="1">
      <c r="A12" s="31" t="s">
        <v>130</v>
      </c>
      <c r="B12" s="31" t="s">
        <v>35</v>
      </c>
      <c r="C12" s="40" t="s">
        <v>46</v>
      </c>
      <c r="D12" s="31" t="str">
        <f t="shared" si="1"/>
        <v>Nil</v>
      </c>
      <c r="F12" s="52" t="s">
        <v>162</v>
      </c>
      <c r="G12" s="53"/>
      <c r="I12" s="64" t="s">
        <v>47</v>
      </c>
      <c r="J12" s="32">
        <v>70.0</v>
      </c>
      <c r="L12" s="21" t="s">
        <v>130</v>
      </c>
      <c r="M12" s="12" t="s">
        <v>35</v>
      </c>
      <c r="N12" s="63">
        <v>70.0</v>
      </c>
    </row>
    <row r="13" ht="14.25" customHeight="1">
      <c r="A13" s="31" t="s">
        <v>131</v>
      </c>
      <c r="B13" s="31" t="s">
        <v>45</v>
      </c>
      <c r="C13" s="40" t="s">
        <v>52</v>
      </c>
      <c r="D13" s="31" t="str">
        <f t="shared" si="1"/>
        <v>Nil</v>
      </c>
      <c r="F13" s="65" t="s">
        <v>5</v>
      </c>
      <c r="G13" s="65" t="s">
        <v>166</v>
      </c>
      <c r="I13" s="62" t="s">
        <v>50</v>
      </c>
      <c r="J13" s="32">
        <v>74.0</v>
      </c>
      <c r="L13" s="21" t="s">
        <v>131</v>
      </c>
      <c r="M13" s="12" t="s">
        <v>45</v>
      </c>
      <c r="N13" s="63">
        <v>74.0</v>
      </c>
    </row>
    <row r="14" ht="14.25" customHeight="1">
      <c r="A14" s="31" t="s">
        <v>132</v>
      </c>
      <c r="B14" s="31" t="s">
        <v>27</v>
      </c>
      <c r="C14" s="40" t="s">
        <v>52</v>
      </c>
      <c r="D14" s="31" t="str">
        <f t="shared" si="1"/>
        <v>Nil</v>
      </c>
      <c r="F14" s="31" t="s">
        <v>14</v>
      </c>
      <c r="G14" s="31">
        <v>10.0</v>
      </c>
      <c r="I14" s="64" t="s">
        <v>47</v>
      </c>
      <c r="J14" s="32">
        <v>76.0</v>
      </c>
      <c r="L14" s="21" t="s">
        <v>132</v>
      </c>
      <c r="M14" s="12" t="s">
        <v>27</v>
      </c>
      <c r="N14" s="63">
        <v>76.0</v>
      </c>
    </row>
    <row r="15" ht="14.25" customHeight="1">
      <c r="A15" s="31" t="s">
        <v>133</v>
      </c>
      <c r="B15" s="31" t="s">
        <v>14</v>
      </c>
      <c r="C15" s="40" t="s">
        <v>46</v>
      </c>
      <c r="D15" s="31" t="str">
        <f t="shared" si="1"/>
        <v>Nil</v>
      </c>
      <c r="F15" s="31" t="s">
        <v>21</v>
      </c>
      <c r="G15" s="31">
        <v>6.0</v>
      </c>
      <c r="I15" s="62" t="s">
        <v>29</v>
      </c>
      <c r="J15" s="32">
        <v>76.0</v>
      </c>
      <c r="L15" s="21" t="s">
        <v>133</v>
      </c>
      <c r="M15" s="12" t="s">
        <v>14</v>
      </c>
      <c r="N15" s="63">
        <v>76.0</v>
      </c>
    </row>
    <row r="16" ht="14.25" customHeight="1">
      <c r="A16" s="31" t="s">
        <v>134</v>
      </c>
      <c r="B16" s="31" t="s">
        <v>45</v>
      </c>
      <c r="C16" s="40" t="s">
        <v>32</v>
      </c>
      <c r="D16" s="31" t="str">
        <f t="shared" si="1"/>
        <v>Nil</v>
      </c>
      <c r="F16" s="31" t="s">
        <v>27</v>
      </c>
      <c r="G16" s="31">
        <v>2.0</v>
      </c>
      <c r="I16" s="64" t="s">
        <v>29</v>
      </c>
      <c r="J16" s="32">
        <v>75.0</v>
      </c>
      <c r="L16" s="21" t="s">
        <v>134</v>
      </c>
      <c r="M16" s="12" t="s">
        <v>45</v>
      </c>
      <c r="N16" s="63">
        <v>75.0</v>
      </c>
    </row>
    <row r="17" ht="14.25" customHeight="1">
      <c r="A17" s="31" t="s">
        <v>135</v>
      </c>
      <c r="B17" s="31" t="s">
        <v>35</v>
      </c>
      <c r="C17" s="40" t="s">
        <v>52</v>
      </c>
      <c r="D17" s="31" t="str">
        <f t="shared" si="1"/>
        <v>Nil</v>
      </c>
      <c r="F17" s="31" t="s">
        <v>35</v>
      </c>
      <c r="G17" s="31">
        <v>9.0</v>
      </c>
      <c r="I17" s="62" t="s">
        <v>10</v>
      </c>
      <c r="J17" s="32">
        <v>74.0</v>
      </c>
      <c r="L17" s="21" t="s">
        <v>135</v>
      </c>
      <c r="M17" s="12" t="s">
        <v>35</v>
      </c>
      <c r="N17" s="63">
        <v>74.0</v>
      </c>
    </row>
    <row r="18" ht="14.25" customHeight="1">
      <c r="A18" s="31" t="s">
        <v>136</v>
      </c>
      <c r="B18" s="31" t="s">
        <v>14</v>
      </c>
      <c r="C18" s="40" t="s">
        <v>52</v>
      </c>
      <c r="D18" s="31" t="str">
        <f t="shared" si="1"/>
        <v>Nil</v>
      </c>
      <c r="F18" s="31" t="s">
        <v>45</v>
      </c>
      <c r="G18" s="31">
        <v>8.0</v>
      </c>
      <c r="I18" s="64" t="s">
        <v>62</v>
      </c>
      <c r="J18" s="32">
        <v>74.0</v>
      </c>
      <c r="L18" s="21" t="s">
        <v>136</v>
      </c>
      <c r="M18" s="12" t="s">
        <v>14</v>
      </c>
      <c r="N18" s="63">
        <v>74.0</v>
      </c>
    </row>
    <row r="19" ht="14.25" customHeight="1">
      <c r="A19" s="31" t="s">
        <v>137</v>
      </c>
      <c r="B19" s="31" t="s">
        <v>35</v>
      </c>
      <c r="C19" s="40" t="s">
        <v>66</v>
      </c>
      <c r="D19" s="31" t="str">
        <f t="shared" si="1"/>
        <v>Nil</v>
      </c>
      <c r="I19" s="62" t="s">
        <v>47</v>
      </c>
      <c r="J19" s="32">
        <v>70.0</v>
      </c>
      <c r="L19" s="21" t="s">
        <v>137</v>
      </c>
      <c r="M19" s="12" t="s">
        <v>35</v>
      </c>
      <c r="N19" s="63">
        <v>70.0</v>
      </c>
    </row>
    <row r="20" ht="14.25" customHeight="1">
      <c r="A20" s="31" t="s">
        <v>138</v>
      </c>
      <c r="B20" s="31" t="s">
        <v>21</v>
      </c>
      <c r="C20" s="40" t="s">
        <v>32</v>
      </c>
      <c r="D20" s="31" t="str">
        <f t="shared" si="1"/>
        <v>Nil</v>
      </c>
      <c r="I20" s="64" t="s">
        <v>67</v>
      </c>
      <c r="J20" s="32">
        <v>74.0</v>
      </c>
      <c r="L20" s="21" t="s">
        <v>138</v>
      </c>
      <c r="M20" s="12" t="s">
        <v>21</v>
      </c>
      <c r="N20" s="63">
        <v>74.0</v>
      </c>
    </row>
    <row r="21" ht="14.25" customHeight="1">
      <c r="A21" s="31" t="s">
        <v>139</v>
      </c>
      <c r="B21" s="31" t="s">
        <v>14</v>
      </c>
      <c r="C21" s="40" t="s">
        <v>101</v>
      </c>
      <c r="D21" s="31" t="str">
        <f t="shared" si="1"/>
        <v>Nil</v>
      </c>
      <c r="F21" s="54" t="s">
        <v>163</v>
      </c>
      <c r="I21" s="62" t="s">
        <v>67</v>
      </c>
      <c r="J21" s="32">
        <v>76.0</v>
      </c>
      <c r="L21" s="21" t="s">
        <v>139</v>
      </c>
      <c r="M21" s="12" t="s">
        <v>14</v>
      </c>
      <c r="N21" s="63">
        <v>76.0</v>
      </c>
    </row>
    <row r="22" ht="14.25" customHeight="1">
      <c r="A22" s="31" t="s">
        <v>140</v>
      </c>
      <c r="B22" s="31" t="s">
        <v>45</v>
      </c>
      <c r="C22" s="40" t="s">
        <v>32</v>
      </c>
      <c r="D22" s="31" t="str">
        <f t="shared" si="1"/>
        <v>Nil</v>
      </c>
      <c r="F22" s="66" t="s">
        <v>3</v>
      </c>
      <c r="G22" s="66" t="s">
        <v>164</v>
      </c>
      <c r="I22" s="64" t="s">
        <v>29</v>
      </c>
      <c r="J22" s="32">
        <v>71.0</v>
      </c>
      <c r="L22" s="21" t="s">
        <v>140</v>
      </c>
      <c r="M22" s="12" t="s">
        <v>45</v>
      </c>
      <c r="N22" s="63">
        <v>71.0</v>
      </c>
    </row>
    <row r="23" ht="14.25" customHeight="1">
      <c r="A23" s="31" t="s">
        <v>141</v>
      </c>
      <c r="B23" s="31" t="s">
        <v>21</v>
      </c>
      <c r="C23" s="40" t="s">
        <v>32</v>
      </c>
      <c r="D23" s="31" t="str">
        <f t="shared" si="1"/>
        <v>Nil</v>
      </c>
      <c r="F23" s="31" t="s">
        <v>12</v>
      </c>
      <c r="G23" s="67">
        <v>0.5</v>
      </c>
      <c r="I23" s="62" t="s">
        <v>72</v>
      </c>
      <c r="J23" s="32">
        <v>67.0</v>
      </c>
      <c r="L23" s="21" t="s">
        <v>141</v>
      </c>
      <c r="M23" s="12" t="s">
        <v>21</v>
      </c>
      <c r="N23" s="63">
        <v>67.0</v>
      </c>
    </row>
    <row r="24" ht="14.25" customHeight="1">
      <c r="A24" s="31" t="s">
        <v>142</v>
      </c>
      <c r="B24" s="31" t="s">
        <v>14</v>
      </c>
      <c r="C24" s="40" t="s">
        <v>32</v>
      </c>
      <c r="D24" s="31" t="str">
        <f t="shared" si="1"/>
        <v>Nil</v>
      </c>
      <c r="F24" s="31" t="s">
        <v>19</v>
      </c>
      <c r="G24" s="67">
        <v>0.16666666666666666</v>
      </c>
      <c r="I24" s="64" t="s">
        <v>74</v>
      </c>
      <c r="J24" s="32" t="s">
        <v>168</v>
      </c>
      <c r="L24" s="21" t="s">
        <v>142</v>
      </c>
      <c r="M24" s="12" t="s">
        <v>14</v>
      </c>
      <c r="N24" s="63" t="s">
        <v>168</v>
      </c>
    </row>
    <row r="25" ht="14.25" customHeight="1">
      <c r="A25" s="31" t="s">
        <v>143</v>
      </c>
      <c r="B25" s="31" t="s">
        <v>35</v>
      </c>
      <c r="C25" s="40" t="s">
        <v>52</v>
      </c>
      <c r="D25" s="31" t="str">
        <f t="shared" si="1"/>
        <v>Nil</v>
      </c>
      <c r="F25" s="31" t="s">
        <v>38</v>
      </c>
      <c r="G25" s="67">
        <v>0.0</v>
      </c>
      <c r="I25" s="62" t="s">
        <v>77</v>
      </c>
      <c r="J25" s="32">
        <v>77.0</v>
      </c>
      <c r="L25" s="21" t="s">
        <v>143</v>
      </c>
      <c r="M25" s="12" t="s">
        <v>35</v>
      </c>
      <c r="N25" s="63">
        <v>77.0</v>
      </c>
    </row>
    <row r="26" ht="14.25" customHeight="1">
      <c r="A26" s="31" t="s">
        <v>144</v>
      </c>
      <c r="B26" s="31" t="s">
        <v>45</v>
      </c>
      <c r="C26" s="40" t="s">
        <v>32</v>
      </c>
      <c r="D26" s="31" t="str">
        <f t="shared" si="1"/>
        <v>Nil</v>
      </c>
      <c r="F26" s="31" t="s">
        <v>43</v>
      </c>
      <c r="G26" s="67">
        <v>0.18181818181818182</v>
      </c>
      <c r="I26" s="64" t="s">
        <v>17</v>
      </c>
      <c r="J26" s="32">
        <v>77.0</v>
      </c>
      <c r="L26" s="21" t="s">
        <v>144</v>
      </c>
      <c r="M26" s="12" t="s">
        <v>45</v>
      </c>
      <c r="N26" s="63">
        <v>77.0</v>
      </c>
    </row>
    <row r="27" ht="14.25" customHeight="1">
      <c r="A27" s="31" t="s">
        <v>145</v>
      </c>
      <c r="B27" s="31" t="s">
        <v>35</v>
      </c>
      <c r="C27" s="40" t="s">
        <v>52</v>
      </c>
      <c r="D27" s="31" t="str">
        <f t="shared" si="1"/>
        <v>Nil</v>
      </c>
      <c r="F27" s="31" t="s">
        <v>54</v>
      </c>
      <c r="G27" s="67">
        <v>0.6666666666666666</v>
      </c>
      <c r="I27" s="62" t="s">
        <v>72</v>
      </c>
      <c r="J27" s="32">
        <v>69.0</v>
      </c>
      <c r="L27" s="21" t="s">
        <v>145</v>
      </c>
      <c r="M27" s="12" t="s">
        <v>35</v>
      </c>
      <c r="N27" s="63">
        <v>69.0</v>
      </c>
    </row>
    <row r="28" ht="14.25" customHeight="1">
      <c r="A28" s="31" t="s">
        <v>146</v>
      </c>
      <c r="B28" s="31" t="s">
        <v>35</v>
      </c>
      <c r="C28" s="40" t="s">
        <v>66</v>
      </c>
      <c r="D28" s="31" t="str">
        <f t="shared" si="1"/>
        <v>Nil</v>
      </c>
      <c r="I28" s="64" t="s">
        <v>41</v>
      </c>
      <c r="J28" s="32">
        <v>71.0</v>
      </c>
      <c r="L28" s="21" t="s">
        <v>146</v>
      </c>
      <c r="M28" s="12" t="s">
        <v>35</v>
      </c>
      <c r="N28" s="63">
        <v>71.0</v>
      </c>
    </row>
    <row r="29" ht="14.25" customHeight="1">
      <c r="A29" s="31" t="s">
        <v>147</v>
      </c>
      <c r="B29" s="31" t="s">
        <v>14</v>
      </c>
      <c r="C29" s="40" t="s">
        <v>46</v>
      </c>
      <c r="D29" s="31" t="str">
        <f t="shared" si="1"/>
        <v>Nil</v>
      </c>
      <c r="I29" s="62" t="s">
        <v>72</v>
      </c>
      <c r="J29" s="32">
        <v>70.0</v>
      </c>
      <c r="L29" s="21" t="s">
        <v>147</v>
      </c>
      <c r="M29" s="12" t="s">
        <v>14</v>
      </c>
      <c r="N29" s="63">
        <v>70.0</v>
      </c>
    </row>
    <row r="30" ht="14.25" customHeight="1">
      <c r="A30" s="31" t="s">
        <v>148</v>
      </c>
      <c r="B30" s="31" t="s">
        <v>45</v>
      </c>
      <c r="C30" s="40" t="s">
        <v>101</v>
      </c>
      <c r="D30" s="31" t="str">
        <f t="shared" si="1"/>
        <v>Nil</v>
      </c>
      <c r="I30" s="64" t="s">
        <v>84</v>
      </c>
      <c r="J30" s="32">
        <v>67.0</v>
      </c>
      <c r="L30" s="21" t="s">
        <v>148</v>
      </c>
      <c r="M30" s="12" t="s">
        <v>45</v>
      </c>
      <c r="N30" s="63">
        <v>67.0</v>
      </c>
    </row>
    <row r="31" ht="14.25" customHeight="1">
      <c r="A31" s="31" t="s">
        <v>149</v>
      </c>
      <c r="B31" s="31" t="s">
        <v>35</v>
      </c>
      <c r="C31" s="40" t="s">
        <v>52</v>
      </c>
      <c r="D31" s="31" t="str">
        <f t="shared" si="1"/>
        <v>Nil</v>
      </c>
      <c r="I31" s="62" t="s">
        <v>36</v>
      </c>
      <c r="J31" s="32">
        <v>73.0</v>
      </c>
      <c r="L31" s="21" t="s">
        <v>149</v>
      </c>
      <c r="M31" s="12" t="s">
        <v>35</v>
      </c>
      <c r="N31" s="63">
        <v>73.0</v>
      </c>
    </row>
    <row r="32" ht="14.25" customHeight="1">
      <c r="A32" s="31" t="s">
        <v>150</v>
      </c>
      <c r="B32" s="31" t="s">
        <v>14</v>
      </c>
      <c r="C32" s="40" t="s">
        <v>46</v>
      </c>
      <c r="D32" s="31" t="str">
        <f t="shared" si="1"/>
        <v>Nil</v>
      </c>
      <c r="I32" s="64" t="s">
        <v>50</v>
      </c>
      <c r="J32" s="32">
        <v>71.0</v>
      </c>
      <c r="L32" s="21" t="s">
        <v>150</v>
      </c>
      <c r="M32" s="12" t="s">
        <v>14</v>
      </c>
      <c r="N32" s="63">
        <v>71.0</v>
      </c>
    </row>
    <row r="33" ht="14.25" customHeight="1">
      <c r="A33" s="31" t="s">
        <v>151</v>
      </c>
      <c r="B33" s="31" t="s">
        <v>14</v>
      </c>
      <c r="C33" s="40" t="s">
        <v>66</v>
      </c>
      <c r="D33" s="31" t="str">
        <f t="shared" si="1"/>
        <v>Nil</v>
      </c>
      <c r="I33" s="62" t="s">
        <v>50</v>
      </c>
      <c r="J33" s="32">
        <v>70.0</v>
      </c>
      <c r="L33" s="21" t="s">
        <v>151</v>
      </c>
      <c r="M33" s="12" t="s">
        <v>14</v>
      </c>
      <c r="N33" s="63">
        <v>70.0</v>
      </c>
    </row>
    <row r="34" ht="14.25" customHeight="1">
      <c r="A34" s="31" t="s">
        <v>152</v>
      </c>
      <c r="B34" s="31" t="s">
        <v>45</v>
      </c>
      <c r="C34" s="40" t="s">
        <v>52</v>
      </c>
      <c r="D34" s="31" t="str">
        <f t="shared" si="1"/>
        <v>Nil</v>
      </c>
      <c r="I34" s="64" t="s">
        <v>67</v>
      </c>
      <c r="J34" s="32">
        <v>69.0</v>
      </c>
      <c r="L34" s="21" t="s">
        <v>152</v>
      </c>
      <c r="M34" s="12" t="s">
        <v>45</v>
      </c>
      <c r="N34" s="63">
        <v>69.0</v>
      </c>
    </row>
    <row r="35" ht="14.25" customHeight="1">
      <c r="A35" s="31" t="s">
        <v>153</v>
      </c>
      <c r="B35" s="31" t="s">
        <v>21</v>
      </c>
      <c r="C35" s="40" t="s">
        <v>66</v>
      </c>
      <c r="D35" s="31" t="str">
        <f t="shared" si="1"/>
        <v>Interested but not responded</v>
      </c>
      <c r="I35" s="62" t="s">
        <v>90</v>
      </c>
      <c r="J35" s="32">
        <v>74.0</v>
      </c>
      <c r="L35" s="21" t="s">
        <v>153</v>
      </c>
      <c r="M35" s="12" t="s">
        <v>21</v>
      </c>
      <c r="N35" s="63">
        <v>74.0</v>
      </c>
    </row>
    <row r="36" ht="14.25" customHeight="1">
      <c r="A36" s="31" t="s">
        <v>154</v>
      </c>
      <c r="B36" s="31" t="s">
        <v>45</v>
      </c>
      <c r="C36" s="40" t="s">
        <v>66</v>
      </c>
      <c r="D36" s="31" t="str">
        <f t="shared" si="1"/>
        <v>Nil</v>
      </c>
      <c r="I36" s="64" t="s">
        <v>41</v>
      </c>
      <c r="J36" s="32" t="s">
        <v>168</v>
      </c>
      <c r="L36" s="21" t="s">
        <v>154</v>
      </c>
      <c r="M36" s="12" t="s">
        <v>45</v>
      </c>
      <c r="N36" s="63" t="s">
        <v>168</v>
      </c>
    </row>
    <row r="37" ht="14.25" customHeight="1">
      <c r="A37" s="31" t="s">
        <v>155</v>
      </c>
      <c r="B37" s="31" t="s">
        <v>35</v>
      </c>
      <c r="C37" s="40" t="s">
        <v>66</v>
      </c>
      <c r="D37" s="31" t="str">
        <f t="shared" si="1"/>
        <v>Nil</v>
      </c>
      <c r="I37" s="62" t="s">
        <v>67</v>
      </c>
      <c r="J37" s="32">
        <v>76.0</v>
      </c>
      <c r="L37" s="21" t="s">
        <v>155</v>
      </c>
      <c r="M37" s="12" t="s">
        <v>35</v>
      </c>
      <c r="N37" s="63">
        <v>76.0</v>
      </c>
    </row>
    <row r="38" ht="14.25" customHeight="1">
      <c r="A38" s="31" t="s">
        <v>156</v>
      </c>
      <c r="B38" s="31" t="s">
        <v>14</v>
      </c>
      <c r="C38" s="40" t="s">
        <v>46</v>
      </c>
      <c r="D38" s="31" t="str">
        <f t="shared" si="1"/>
        <v>Nil</v>
      </c>
      <c r="I38" s="64" t="s">
        <v>94</v>
      </c>
      <c r="J38" s="32">
        <v>69.0</v>
      </c>
      <c r="L38" s="21" t="s">
        <v>156</v>
      </c>
      <c r="M38" s="12" t="s">
        <v>14</v>
      </c>
      <c r="N38" s="63">
        <v>69.0</v>
      </c>
    </row>
    <row r="39" ht="14.25" customHeight="1">
      <c r="A39" s="31" t="s">
        <v>157</v>
      </c>
      <c r="B39" s="31" t="s">
        <v>21</v>
      </c>
      <c r="C39" s="40" t="s">
        <v>52</v>
      </c>
      <c r="D39" s="31" t="str">
        <f t="shared" si="1"/>
        <v>Nil</v>
      </c>
      <c r="I39" s="62" t="s">
        <v>96</v>
      </c>
      <c r="J39" s="32" t="s">
        <v>168</v>
      </c>
      <c r="L39" s="21" t="s">
        <v>157</v>
      </c>
      <c r="M39" s="17" t="s">
        <v>21</v>
      </c>
      <c r="N39" s="63" t="s">
        <v>168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F1:G1"/>
    <mergeCell ref="A3:C3"/>
    <mergeCell ref="F3:G3"/>
    <mergeCell ref="I3:J3"/>
    <mergeCell ref="L3:N3"/>
    <mergeCell ref="F12:G12"/>
    <mergeCell ref="F21:G21"/>
  </mergeCells>
  <conditionalFormatting sqref="A5:A39">
    <cfRule type="expression" dxfId="8" priority="1">
      <formula>IF(C5="Interested",B5="Not Responded")</formula>
    </cfRule>
  </conditionalFormatting>
  <conditionalFormatting sqref="L5:L39">
    <cfRule type="expression" dxfId="6" priority="2">
      <formula>IF(M5="Pending",I9&gt;5)</formula>
    </cfRule>
  </conditionalFormatting>
  <dataValidations>
    <dataValidation type="list" allowBlank="1" showDropDown="1" showErrorMessage="1" sqref="M5:M39">
      <formula1>"Closed,Not Responded,Appointment Fixed,Contacted,Pending"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5.29"/>
    <col customWidth="1" min="3" max="3" width="6.43"/>
    <col customWidth="1" min="4" max="4" width="16.29"/>
    <col customWidth="1" min="5" max="5" width="15.29"/>
    <col customWidth="1" min="6" max="6" width="7.29"/>
    <col customWidth="1" min="7" max="7" width="15.29"/>
    <col customWidth="1" min="8" max="8" width="16.29"/>
    <col customWidth="1" min="9" max="9" width="6.43"/>
    <col customWidth="1" min="10" max="10" width="9.43"/>
    <col customWidth="1" min="11" max="11" width="13.71"/>
    <col customWidth="1" min="12" max="12" width="7.29"/>
    <col customWidth="1" min="13" max="13" width="10.57"/>
    <col customWidth="1" min="14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>
      <c r="A24" s="69" t="s">
        <v>174</v>
      </c>
      <c r="B24" s="68" t="s">
        <v>174</v>
      </c>
      <c r="C24" s="48"/>
    </row>
    <row r="25" ht="14.25" customHeight="1">
      <c r="A25" s="87" t="s">
        <v>25</v>
      </c>
      <c r="B25" s="72" t="s">
        <v>54</v>
      </c>
      <c r="C25" s="88" t="str">
        <f t="shared" ref="C25:C29" si="1">D16/L16</f>
        <v>#DIV/0!</v>
      </c>
    </row>
    <row r="26" ht="14.25" customHeight="1">
      <c r="A26" s="89" t="s">
        <v>54</v>
      </c>
      <c r="B26" s="74" t="s">
        <v>19</v>
      </c>
      <c r="C26" s="88" t="str">
        <f t="shared" si="1"/>
        <v>#DIV/0!</v>
      </c>
    </row>
    <row r="27" ht="14.25" customHeight="1">
      <c r="A27" s="89" t="s">
        <v>76</v>
      </c>
      <c r="B27" s="74" t="s">
        <v>12</v>
      </c>
      <c r="C27" s="88" t="str">
        <f t="shared" si="1"/>
        <v>#DIV/0!</v>
      </c>
    </row>
    <row r="28" ht="14.25" customHeight="1">
      <c r="A28" s="89" t="s">
        <v>19</v>
      </c>
      <c r="B28" s="74" t="s">
        <v>38</v>
      </c>
      <c r="C28" s="88" t="str">
        <f t="shared" si="1"/>
        <v>#DIV/0!</v>
      </c>
    </row>
    <row r="29" ht="14.25" customHeight="1">
      <c r="A29" s="89" t="s">
        <v>31</v>
      </c>
      <c r="B29" s="74" t="s">
        <v>43</v>
      </c>
      <c r="C29" s="88" t="str">
        <f t="shared" si="1"/>
        <v>#DIV/0!</v>
      </c>
    </row>
    <row r="30" ht="14.25" customHeight="1">
      <c r="A30" s="89" t="s">
        <v>12</v>
      </c>
    </row>
    <row r="31" ht="14.25" customHeight="1">
      <c r="A31" s="89" t="s">
        <v>38</v>
      </c>
    </row>
    <row r="32" ht="14.25" customHeight="1">
      <c r="A32" s="89" t="s">
        <v>34</v>
      </c>
    </row>
    <row r="33" ht="14.25" customHeight="1">
      <c r="A33" s="89" t="s">
        <v>43</v>
      </c>
    </row>
    <row r="34" ht="14.25" customHeight="1">
      <c r="A34" s="90" t="s">
        <v>172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5.71"/>
    <col customWidth="1" min="3" max="3" width="21.43"/>
    <col customWidth="1" min="4" max="4" width="19.43"/>
    <col customWidth="1" min="5" max="11" width="8.86"/>
    <col customWidth="1" min="12" max="26" width="8.71"/>
  </cols>
  <sheetData>
    <row r="1" ht="14.25" customHeight="1">
      <c r="A1" s="91"/>
      <c r="B1" s="91"/>
      <c r="C1" s="91"/>
      <c r="D1" s="91"/>
      <c r="E1" s="91"/>
      <c r="F1" s="91"/>
      <c r="G1" s="91"/>
      <c r="H1" s="91"/>
      <c r="I1" s="92" t="s">
        <v>175</v>
      </c>
      <c r="J1" s="93"/>
      <c r="K1" s="94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4.2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14.2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14.2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14.25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14.25" customHeight="1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14.2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14.25" customHeight="1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14.25" customHeight="1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ht="14.25" customHeight="1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ht="14.25" customHeight="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ht="14.25" customHeight="1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ht="14.25" customHeight="1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ht="14.25" customHeight="1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ht="14.25" customHeight="1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ht="21.0" customHeight="1">
      <c r="A16" s="91"/>
      <c r="B16" s="95"/>
      <c r="C16" s="95"/>
      <c r="D16" s="95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ht="28.5" customHeight="1">
      <c r="A17" s="91"/>
      <c r="B17" s="96"/>
      <c r="C17" s="97"/>
      <c r="D17" s="96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ht="57.0" customHeight="1">
      <c r="A18" s="91"/>
      <c r="B18" s="96"/>
      <c r="C18" s="97"/>
      <c r="D18" s="96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ht="42.75" customHeight="1">
      <c r="A19" s="91"/>
      <c r="B19" s="96"/>
      <c r="C19" s="97"/>
      <c r="D19" s="96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ht="14.25" customHeight="1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ht="14.25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ht="14.25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ht="14.25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14.25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4.25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ht="14.25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ht="14.25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14.2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4.25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14.25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14.25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14.25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14.25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14.25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14.25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14.25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4.25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4.25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14.25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14.25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ht="14.2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ht="14.2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ht="14.2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ht="14.2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14.2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4.2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14.2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ht="14.2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ht="14.2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ht="14.2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ht="14.2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ht="14.2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ht="14.2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ht="14.2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14.2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4.2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14.2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14.2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4.2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14.2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14.2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14.2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4.2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4.2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4.2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14.2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14.2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4.2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4.2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4.2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4.2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14.2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14.2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14.2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4.2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4.2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4.2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4.2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4.2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4.2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4.2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4.2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4.2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4.2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4.2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4.2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4.2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4.2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4.2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4.2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4.2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4.2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4.2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4.2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4.2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4.2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4.2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4.2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4.2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4.2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4.2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4.2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4.2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4.2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4.2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4.2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4.2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4.2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4.2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4.2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4.2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4.2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4.2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4.2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4.2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4.2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4.2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4.2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4.2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4.2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4.2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4.2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4.2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4.2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4.2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4.2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4.2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4.2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4.2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4.2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4.2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4.2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4.2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4.2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4.2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4.2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4.2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4.2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4.2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4.2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4.2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4.2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4.2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4.2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4.2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4.2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4.2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4.2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4.2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4.2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4.2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4.2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4.2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4.2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4.2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4.2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4.2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4.2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4.2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4.2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4.2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4.2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4.2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4.2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4.2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4.2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4.2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4.2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4.2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4.2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4.2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4.2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4.2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4.2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4.2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4.2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4.2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4.2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4.2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4.2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4.2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4.2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4.2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4.2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4.2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4.2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4.2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4.2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4.2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4.2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4.2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4.2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4.2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4.2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4.2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4.2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4.2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4.2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4.2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4.2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4.2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4.2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4.2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4.2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4.2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4.2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4.2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4.2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4.2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4.2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4.2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4.2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4.2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4.2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4.2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4.2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4.2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4.2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4.2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4.2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4.2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4.2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4.2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4.2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4.2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4.2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4.2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4.2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4.2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4.2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4.2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4.2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4.2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4.2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4.2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4.2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4.2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4.2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4.2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4.2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4.2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4.2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4.2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4.2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4.2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4.2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4.2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4.2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4.2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4.2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4.2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4.2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4.2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4.2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4.2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4.2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14.2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14.2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14.2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14.2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14.2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14.2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14.2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14.2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14.2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14.2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14.2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14.2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ht="14.2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ht="14.2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ht="14.2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ht="14.2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ht="14.2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ht="14.2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ht="14.2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ht="14.2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ht="14.2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ht="14.2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ht="14.2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ht="14.2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ht="14.2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ht="14.2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ht="14.2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ht="14.2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ht="14.2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ht="14.2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ht="14.2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ht="14.2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ht="14.2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ht="14.2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ht="14.2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ht="14.2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ht="14.2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ht="14.2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ht="14.2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ht="14.2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ht="14.2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ht="14.2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ht="14.2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ht="14.2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ht="14.2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ht="14.2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ht="14.2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ht="14.2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ht="14.2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ht="14.2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ht="14.2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ht="14.2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ht="14.2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ht="14.2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ht="14.2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ht="14.2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ht="14.2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ht="14.2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ht="14.2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ht="14.2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ht="14.2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ht="14.2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ht="14.2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ht="14.2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ht="14.2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ht="14.2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ht="14.2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ht="14.2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ht="14.2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ht="14.2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ht="14.2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ht="14.2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ht="14.2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ht="14.2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ht="14.2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ht="14.2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ht="14.2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ht="14.2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ht="14.2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ht="14.2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ht="14.2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ht="14.2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ht="14.2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ht="14.2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ht="14.2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ht="14.2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ht="14.2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ht="14.2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ht="14.2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ht="14.2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ht="14.2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ht="14.2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ht="14.2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ht="14.2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ht="14.2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ht="14.2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ht="14.2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ht="14.2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ht="14.2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ht="14.2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ht="14.2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ht="14.2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ht="14.2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ht="14.2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ht="14.2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ht="14.2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ht="14.2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ht="14.2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ht="14.2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ht="14.2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ht="14.2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ht="14.2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ht="14.2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ht="14.2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ht="14.2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ht="14.2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ht="14.2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ht="14.2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ht="14.2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ht="14.2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ht="14.2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ht="14.2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ht="14.2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ht="14.2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ht="14.2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ht="14.2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ht="14.2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ht="14.2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ht="14.2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ht="14.2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ht="14.2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ht="14.2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ht="14.2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ht="14.2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ht="14.2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ht="14.2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ht="14.2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ht="14.2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ht="14.2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ht="14.2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ht="14.2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ht="14.2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ht="14.2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ht="14.2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ht="14.2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ht="14.2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ht="14.2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ht="14.2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ht="14.2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ht="14.2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ht="14.2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ht="14.2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ht="14.2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ht="14.2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ht="14.2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ht="14.2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14.2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4.2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4.2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4.2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4.2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4.2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4.2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4.2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4.2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4.2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4.2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4.2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4.2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4.2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4.2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4.2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4.2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4.2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4.2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4.2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4.2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4.2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4.2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14.2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14.2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14.2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14.2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14.2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14.2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14.2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14.2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14.2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14.2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14.2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14.2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14.2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14.2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14.2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14.2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14.2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14.2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14.2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14.2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14.2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14.2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14.2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14.2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14.2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14.2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14.2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14.2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14.2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14.2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14.2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14.2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14.2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14.2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14.2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14.2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14.2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14.2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14.2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14.2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14.2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14.2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14.2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14.2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14.2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14.2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14.2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14.2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14.2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14.2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14.2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14.2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14.2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14.2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14.2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14.2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14.2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14.2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14.2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14.2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14.2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14.2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14.2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14.2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14.2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14.2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14.2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14.2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14.2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14.2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14.2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14.2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14.2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14.2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14.2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14.2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14.2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14.2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14.2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14.2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14.2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14.2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14.2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14.2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14.2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14.2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14.2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14.2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14.2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14.2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14.2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14.2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14.2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14.2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14.2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14.2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14.2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14.2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14.2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14.2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14.2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14.2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14.2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14.2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14.2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14.2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14.2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14.2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14.2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14.2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14.2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14.2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14.2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14.2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14.2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14.2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14.2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14.2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14.2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14.2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14.2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14.2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14.2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14.2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14.2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14.2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14.2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14.2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14.2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14.2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14.2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14.2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14.2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14.2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14.2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14.2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14.2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14.2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14.2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14.2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14.2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4.2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4.2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4.2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4.2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4.2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4.2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4.2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4.2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4.2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4.2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4.2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4.2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4.2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4.2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4.2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4.2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4.2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4.2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4.2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4.2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4.2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4.2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4.2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4.2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4.2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4.2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4.2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4.2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4.2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4.2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4.2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4.2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4.2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4.2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14.2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14.2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14.2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14.2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14.2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14.2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14.2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14.2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14.2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14.2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14.2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14.2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14.2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14.2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14.2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14.2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14.2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14.2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14.2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14.2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14.2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14.2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14.2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14.2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14.2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14.2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14.2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14.2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14.2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14.2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14.2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14.2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14.2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14.2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14.2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14.2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14.2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14.2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14.2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14.2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14.2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14.2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14.2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14.2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14.2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14.2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14.2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14.2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14.2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14.2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14.2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14.2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14.2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14.2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14.2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14.2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14.2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14.2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14.2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14.2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14.2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14.2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14.2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14.2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14.2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14.2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14.2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14.2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14.2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14.2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14.2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14.2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14.2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14.2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14.2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14.2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14.2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14.2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14.2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14.2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14.2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14.2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14.2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14.2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14.2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14.2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14.2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14.2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14.2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14.2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14.2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14.2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14.2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14.2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14.2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14.2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14.2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14.2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14.2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14.2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14.2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14.2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14.2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14.2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14.2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14.2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14.2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14.2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14.2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14.2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14.2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14.2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14.2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14.2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14.2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14.2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14.2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14.2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14.2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14.2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14.2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14.2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14.2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14.2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14.2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14.2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14.2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14.2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14.2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14.2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14.2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14.2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14.2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14.2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14.2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14.2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14.2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14.2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14.2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14.2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14.2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14.2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14.2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14.2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14.2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14.2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14.2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14.2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14.2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14.2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14.2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14.2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14.2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14.2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14.2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14.2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14.2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14.2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14.2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14.2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14.2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14.2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14.2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14.2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14.2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14.2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14.2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14.2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14.2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14.2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14.2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14.2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14.2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14.2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14.2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14.2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14.2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14.2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14.2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14.2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14.2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14.2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14.2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14.2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14.2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14.2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14.2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14.2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14.2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14.2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14.2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14.2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14.2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14.2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14.2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14.2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14.2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14.2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14.2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14.2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14.2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14.2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14.2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14.2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14.2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14.2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14.2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14.2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14.2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14.2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14.2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14.2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14.2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14.2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14.2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14.2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14.2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14.2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14.2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14.2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14.2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14.2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14.2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14.2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14.2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14.2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14.2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14.2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14.2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14.2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14.2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14.2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14.2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14.2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14.2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14.2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14.2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14.2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14.2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14.2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14.2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14.2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14.2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14.2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14.2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14.2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14.2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14.2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14.2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14.2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14.2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14.2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14.2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14.2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14.2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14.2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14.2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14.2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14.2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14.2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14.2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14.2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14.2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14.2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14.2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14.2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14.2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14.2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14.2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14.2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14.2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14.2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14.2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14.2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14.2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14.2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14.2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14.2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14.2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14.2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14.2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14.2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14.2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14.2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14.2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14.2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14.2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14.2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14.2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14.2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14.2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14.2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14.2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14.2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14.2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14.2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14.2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14.2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14.2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14.2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14.2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14.2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14.2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14.2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14.2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14.2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14.2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14.2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14.2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14.2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14.2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14.2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14.2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14.2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14.2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14.2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14.2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14.2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14.2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14.2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14.2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14.2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14.2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14.2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14.2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14.2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14.2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14.2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14.2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14.2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14.2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14.2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14.2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14.2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14.2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14.2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14.2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14.2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14.2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14.2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14.2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14.2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14.2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14.2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14.2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14.2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14.2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14.2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14.2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14.2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14.2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14.2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14.2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14.2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14.2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14.2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14.2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14.2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14.2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14.2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14.2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14.2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14.2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14.2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14.2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14.2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14.2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14.2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14.2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14.2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14.2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14.2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14.2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14.2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14.2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14.2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14.2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14.2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14.2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14.2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14.2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ht="14.25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ht="14.25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ht="14.25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ht="14.25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ht="14.25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ht="14.25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ht="14.25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ht="14.25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ht="14.25" customHeight="1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1">
    <mergeCell ref="I1:K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2025-08-25T12:47:43Z</dcterms:created>
  <dc:creator>Sunil</dc:creator>
</cp:coreProperties>
</file>